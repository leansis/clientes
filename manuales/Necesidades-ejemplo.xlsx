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maestro tiend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1"/>
      <sz val="2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dxfs count="6">
    <dxf>
      <numFmt numFmtId="0" formatCode="General"/>
      <fill>
        <patternFill patternType="solid">
          <fgColor indexed="64"/>
          <bgColor rgb="FFFFFF00"/>
        </patternFill>
      </fill>
      <alignment horizontal="left" vertical="bottom"/>
    </dxf>
    <dxf>
      <numFmt numFmtId="0" formatCode="General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1" displayName="Tabla1" ref="A1:D197" headerRowCount="1" totalsRowShown="0" headerRowDxfId="5" dataDxfId="4">
  <autoFilter ref="A1:D197"/>
  <sortState ref="A2:D197">
    <sortCondition ref="A1:A197"/>
  </sortState>
  <tableColumns count="4">
    <tableColumn id="1" name="Tienda" dataDxfId="3"/>
    <tableColumn id="2" name="NOMBRE" dataDxfId="2"/>
    <tableColumn id="3" name="ZONA" dataDxfId="1"/>
    <tableColumn id="4" name="CHECK" dataDxfId="0">
      <calculatedColumnFormula>+IF(Tabla1[[#This Row],[Tienda]]&lt;&gt;"", IFERROR( VLOOKUP(Tabla1[[#This Row],[Tienda]],  Hoja1!A:A,   1,   0), "FALTA TIENDA"),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tabSelected="1" zoomScale="85" zoomScaleNormal="85" workbookViewId="0">
      <selection activeCell="J8" sqref="J8"/>
    </sheetView>
  </sheetViews>
  <sheetFormatPr baseColWidth="10" defaultRowHeight="14.5"/>
  <cols>
    <col width="24.453125" bestFit="1" customWidth="1" min="2" max="2"/>
    <col width="6.81640625" customWidth="1" min="3" max="5"/>
    <col width="13.54296875" bestFit="1" customWidth="1" min="6" max="6"/>
    <col width="16.6328125" customWidth="1" min="7" max="7"/>
    <col width="5.54296875" customWidth="1" min="8" max="9"/>
    <col width="7.54296875" customWidth="1" min="10" max="12"/>
    <col width="27.81640625" bestFit="1" customWidth="1" min="13" max="13"/>
    <col width="13.1796875" customWidth="1" min="14" max="14"/>
  </cols>
  <sheetData>
    <row r="1">
      <c r="A1" t="inlineStr">
        <is>
          <t>codigo</t>
        </is>
      </c>
      <c r="B1" t="inlineStr">
        <is>
          <t>Tienda</t>
        </is>
      </c>
      <c r="C1" t="inlineStr">
        <is>
          <t>Seco</t>
        </is>
      </c>
      <c r="D1" t="inlineStr">
        <is>
          <t>Charcu</t>
        </is>
      </c>
      <c r="E1" t="inlineStr">
        <is>
          <t>FyV</t>
        </is>
      </c>
      <c r="F1" t="inlineStr">
        <is>
          <t>Fecha servicio</t>
        </is>
      </c>
      <c r="G1" t="inlineStr">
        <is>
          <t>zona</t>
        </is>
      </c>
      <c r="M1" t="inlineStr">
        <is>
          <t>Proveedor</t>
        </is>
      </c>
      <c r="N1" t="inlineStr">
        <is>
          <t>Pedido</t>
        </is>
      </c>
      <c r="O1" t="inlineStr">
        <is>
          <t>Pallets</t>
        </is>
      </c>
    </row>
    <row r="2">
      <c r="A2" t="n">
        <v>922</v>
      </c>
      <c r="B2" t="inlineStr">
        <is>
          <t>TIENDA 187</t>
        </is>
      </c>
      <c r="C2" t="n">
        <v>9.9</v>
      </c>
      <c r="D2" t="n">
        <v>3.8</v>
      </c>
      <c r="E2" t="n">
        <v>6.8</v>
      </c>
      <c r="F2" s="1" t="n">
        <v>46112</v>
      </c>
      <c r="G2">
        <f>+VLOOKUP(A2,'maestro tiendas'!A:C, 3, 0)</f>
        <v/>
      </c>
      <c r="M2" t="inlineStr">
        <is>
          <t>PROVEEDOR 175</t>
        </is>
      </c>
      <c r="N2" t="inlineStr">
        <is>
          <t>PC3997447</t>
        </is>
      </c>
      <c r="O2" t="n">
        <v>16.46</v>
      </c>
    </row>
    <row r="3">
      <c r="A3" t="n">
        <v>425</v>
      </c>
      <c r="B3" t="inlineStr">
        <is>
          <t>TIENDA 237</t>
        </is>
      </c>
      <c r="C3" t="n">
        <v>5.8</v>
      </c>
      <c r="D3" t="n">
        <v>1.1</v>
      </c>
      <c r="E3" t="n">
        <v>7.2</v>
      </c>
      <c r="F3" s="1" t="n">
        <v>46112</v>
      </c>
      <c r="G3">
        <f>+VLOOKUP(A3,'maestro tiendas'!A:C, 3, 0)</f>
        <v/>
      </c>
      <c r="M3" t="inlineStr">
        <is>
          <t>PROVEEDOR 144</t>
        </is>
      </c>
      <c r="N3" t="inlineStr">
        <is>
          <t>PC6059178</t>
        </is>
      </c>
      <c r="O3" t="n">
        <v>10.78</v>
      </c>
    </row>
    <row r="4">
      <c r="A4" t="n">
        <v>101</v>
      </c>
      <c r="B4" t="inlineStr">
        <is>
          <t>TIENDA 387</t>
        </is>
      </c>
      <c r="C4" t="n">
        <v>9.300000000000001</v>
      </c>
      <c r="D4" t="n">
        <v>7.8</v>
      </c>
      <c r="E4" t="n">
        <v>3.1</v>
      </c>
      <c r="F4" s="1" t="n">
        <v>46112</v>
      </c>
      <c r="G4">
        <f>+VLOOKUP(A4,'maestro tiendas'!A:C, 3, 0)</f>
        <v/>
      </c>
      <c r="M4" t="inlineStr">
        <is>
          <t>PROVEEDOR 197</t>
        </is>
      </c>
      <c r="N4" t="inlineStr">
        <is>
          <t>PC4425790</t>
        </is>
      </c>
      <c r="O4" t="n">
        <v>19.02</v>
      </c>
    </row>
    <row r="5">
      <c r="A5" t="n">
        <v>608</v>
      </c>
      <c r="B5" t="inlineStr">
        <is>
          <t>TIENDA 179</t>
        </is>
      </c>
      <c r="C5" t="n">
        <v>6.4</v>
      </c>
      <c r="D5" t="n">
        <v>7.7</v>
      </c>
      <c r="E5" t="n">
        <v>8.699999999999999</v>
      </c>
      <c r="F5" s="1" t="n">
        <v>46112</v>
      </c>
      <c r="G5">
        <f>+VLOOKUP(A5,'maestro tiendas'!A:C, 3, 0)</f>
        <v/>
      </c>
      <c r="M5" t="inlineStr">
        <is>
          <t>PROVEEDOR 2</t>
        </is>
      </c>
      <c r="N5" t="inlineStr">
        <is>
          <t>PC7463658</t>
        </is>
      </c>
      <c r="O5" t="n">
        <v>24.5</v>
      </c>
    </row>
    <row r="6">
      <c r="A6" t="n">
        <v>193</v>
      </c>
      <c r="B6" t="inlineStr">
        <is>
          <t>TIENDA 195</t>
        </is>
      </c>
      <c r="C6" t="n">
        <v>8.300000000000001</v>
      </c>
      <c r="D6" t="n">
        <v>2.3</v>
      </c>
      <c r="E6" t="n">
        <v>8.9</v>
      </c>
      <c r="F6" s="1" t="n">
        <v>46112</v>
      </c>
      <c r="G6">
        <f>+VLOOKUP(A6,'maestro tiendas'!A:C, 3, 0)</f>
        <v/>
      </c>
      <c r="M6" t="inlineStr">
        <is>
          <t>PROVEEDOR 29</t>
        </is>
      </c>
      <c r="N6" t="inlineStr">
        <is>
          <t>PC6958921</t>
        </is>
      </c>
      <c r="O6" t="n">
        <v>10.75</v>
      </c>
    </row>
    <row r="7">
      <c r="A7" t="n">
        <v>729</v>
      </c>
      <c r="B7" t="inlineStr">
        <is>
          <t>TIENDA 485</t>
        </is>
      </c>
      <c r="C7" t="n">
        <v>5.1</v>
      </c>
      <c r="D7" t="n">
        <v>5</v>
      </c>
      <c r="E7" t="n">
        <v>6.9</v>
      </c>
      <c r="F7" s="1" t="n">
        <v>46112</v>
      </c>
      <c r="G7">
        <f>+VLOOKUP(A7,'maestro tiendas'!A:C, 3, 0)</f>
        <v/>
      </c>
      <c r="M7" t="inlineStr">
        <is>
          <t>PROVEEDOR 7</t>
        </is>
      </c>
      <c r="N7" t="inlineStr">
        <is>
          <t>PC3253276</t>
        </is>
      </c>
      <c r="O7" t="n">
        <v>11.69</v>
      </c>
    </row>
    <row r="8">
      <c r="A8" t="n">
        <v>689</v>
      </c>
      <c r="B8" t="inlineStr">
        <is>
          <t>TIENDA 249</t>
        </is>
      </c>
      <c r="C8" t="n">
        <v>1.1</v>
      </c>
      <c r="D8" t="n">
        <v>1.7</v>
      </c>
      <c r="E8" t="n">
        <v>8.6</v>
      </c>
      <c r="F8" s="1" t="n">
        <v>46112</v>
      </c>
      <c r="G8">
        <f>+VLOOKUP(A8,'maestro tiendas'!A:C, 3, 0)</f>
        <v/>
      </c>
      <c r="M8" t="inlineStr">
        <is>
          <t>PROVEEDOR 55</t>
        </is>
      </c>
      <c r="N8" t="inlineStr">
        <is>
          <t>PC5883598</t>
        </is>
      </c>
      <c r="O8" t="n">
        <v>5.09</v>
      </c>
    </row>
    <row r="9">
      <c r="A9" t="n">
        <v>710</v>
      </c>
      <c r="B9" t="inlineStr">
        <is>
          <t>TIENDA 395</t>
        </is>
      </c>
      <c r="C9" t="n">
        <v>5.6</v>
      </c>
      <c r="D9" t="n">
        <v>1.2</v>
      </c>
      <c r="E9" t="n">
        <v>6.2</v>
      </c>
      <c r="F9" s="1" t="n">
        <v>46112</v>
      </c>
      <c r="G9">
        <f>+VLOOKUP(A9,'maestro tiendas'!A:C, 3, 0)</f>
        <v/>
      </c>
      <c r="M9" t="inlineStr">
        <is>
          <t>PROVEEDOR 84</t>
        </is>
      </c>
      <c r="N9" t="inlineStr">
        <is>
          <t>PC3423946</t>
        </is>
      </c>
      <c r="O9" t="n">
        <v>5.05</v>
      </c>
    </row>
    <row r="10">
      <c r="A10" t="n">
        <v>261</v>
      </c>
      <c r="B10" t="inlineStr">
        <is>
          <t>TIENDA 357</t>
        </is>
      </c>
      <c r="C10" t="n">
        <v>3</v>
      </c>
      <c r="D10" t="n">
        <v>7</v>
      </c>
      <c r="E10" t="n">
        <v>2.7</v>
      </c>
      <c r="F10" s="1" t="n">
        <v>46112</v>
      </c>
      <c r="G10">
        <f>+VLOOKUP(A10,'maestro tiendas'!A:C, 3, 0)</f>
        <v/>
      </c>
      <c r="M10" t="inlineStr">
        <is>
          <t>PROVEEDOR 5</t>
        </is>
      </c>
      <c r="N10" t="inlineStr">
        <is>
          <t>PC9571522</t>
        </is>
      </c>
      <c r="O10" t="n">
        <v>24.7</v>
      </c>
    </row>
    <row r="11">
      <c r="A11" t="n">
        <v>861</v>
      </c>
      <c r="B11" t="inlineStr">
        <is>
          <t>TIENDA 96</t>
        </is>
      </c>
      <c r="C11" t="n">
        <v>3.3</v>
      </c>
      <c r="D11" t="n">
        <v>9.800000000000001</v>
      </c>
      <c r="E11" t="n">
        <v>9.6</v>
      </c>
      <c r="F11" s="1" t="n">
        <v>46112</v>
      </c>
      <c r="G11">
        <f>+VLOOKUP(A11,'maestro tiendas'!A:C, 3, 0)</f>
        <v/>
      </c>
      <c r="M11" t="inlineStr">
        <is>
          <t>PROVEEDOR 46</t>
        </is>
      </c>
      <c r="N11" t="inlineStr">
        <is>
          <t>PC8623244</t>
        </is>
      </c>
      <c r="O11" t="n">
        <v>8.51</v>
      </c>
    </row>
    <row r="12">
      <c r="A12" t="n">
        <v>264</v>
      </c>
      <c r="B12" t="inlineStr">
        <is>
          <t>TIENDA 417</t>
        </is>
      </c>
      <c r="C12" t="n">
        <v>8.800000000000001</v>
      </c>
      <c r="D12" t="n">
        <v>7.9</v>
      </c>
      <c r="E12" t="n">
        <v>3.1</v>
      </c>
      <c r="F12" s="1" t="n">
        <v>46112</v>
      </c>
      <c r="G12">
        <f>+VLOOKUP(A12,'maestro tiendas'!A:C, 3, 0)</f>
        <v/>
      </c>
      <c r="M12" t="inlineStr">
        <is>
          <t>PROVEEDOR 180</t>
        </is>
      </c>
      <c r="N12" t="inlineStr">
        <is>
          <t>PC9174749</t>
        </is>
      </c>
      <c r="O12" t="n">
        <v>24.61</v>
      </c>
    </row>
    <row r="13">
      <c r="A13" t="n">
        <v>914</v>
      </c>
      <c r="B13" t="inlineStr">
        <is>
          <t>TIENDA 303</t>
        </is>
      </c>
      <c r="C13" t="n">
        <v>5.9</v>
      </c>
      <c r="D13" t="n">
        <v>6.4</v>
      </c>
      <c r="E13" t="n">
        <v>3.3</v>
      </c>
      <c r="F13" s="1" t="n">
        <v>46112</v>
      </c>
      <c r="G13">
        <f>+VLOOKUP(A13,'maestro tiendas'!A:C, 3, 0)</f>
        <v/>
      </c>
      <c r="M13" t="inlineStr">
        <is>
          <t>PROVEEDOR 182</t>
        </is>
      </c>
      <c r="N13" t="inlineStr">
        <is>
          <t>PC5621272</t>
        </is>
      </c>
      <c r="O13" t="n">
        <v>7.7</v>
      </c>
    </row>
    <row r="14">
      <c r="A14" t="n">
        <v>702</v>
      </c>
      <c r="B14" t="inlineStr">
        <is>
          <t>TIENDA 218</t>
        </is>
      </c>
      <c r="C14" t="n">
        <v>7.4</v>
      </c>
      <c r="D14" t="n">
        <v>4.1</v>
      </c>
      <c r="E14" t="n">
        <v>8.5</v>
      </c>
      <c r="F14" s="1" t="n">
        <v>46112</v>
      </c>
      <c r="G14">
        <f>+VLOOKUP(A14,'maestro tiendas'!A:C, 3, 0)</f>
        <v/>
      </c>
      <c r="M14" t="inlineStr">
        <is>
          <t>PROVEEDOR 155</t>
        </is>
      </c>
      <c r="N14" t="inlineStr">
        <is>
          <t>PC9361514</t>
        </is>
      </c>
      <c r="O14" t="n">
        <v>14.67</v>
      </c>
    </row>
    <row r="15">
      <c r="A15" t="n">
        <v>613</v>
      </c>
      <c r="B15" t="inlineStr">
        <is>
          <t>TIENDA 295</t>
        </is>
      </c>
      <c r="C15" t="n">
        <v>9.9</v>
      </c>
      <c r="D15" t="n">
        <v>9.1</v>
      </c>
      <c r="E15" t="n">
        <v>6.3</v>
      </c>
      <c r="F15" s="1" t="n">
        <v>46112</v>
      </c>
      <c r="G15">
        <f>+VLOOKUP(A15,'maestro tiendas'!A:C, 3, 0)</f>
        <v/>
      </c>
      <c r="M15" t="inlineStr">
        <is>
          <t>PROVEEDOR 128</t>
        </is>
      </c>
      <c r="N15" t="inlineStr">
        <is>
          <t>PC3760005</t>
        </is>
      </c>
      <c r="O15" t="n">
        <v>20.64</v>
      </c>
    </row>
    <row r="16">
      <c r="A16" t="n">
        <v>698</v>
      </c>
      <c r="B16" t="inlineStr">
        <is>
          <t>TIENDA 115</t>
        </is>
      </c>
      <c r="C16" t="n">
        <v>9.4</v>
      </c>
      <c r="D16" t="n">
        <v>5</v>
      </c>
      <c r="E16" t="n">
        <v>9.9</v>
      </c>
      <c r="F16" s="1" t="n">
        <v>46112</v>
      </c>
      <c r="G16">
        <f>+VLOOKUP(A16,'maestro tiendas'!A:C, 3, 0)</f>
        <v/>
      </c>
      <c r="M16" t="inlineStr">
        <is>
          <t>PROVEEDOR 163</t>
        </is>
      </c>
      <c r="N16" t="inlineStr">
        <is>
          <t>PC4838022</t>
        </is>
      </c>
      <c r="O16" t="n">
        <v>12.29</v>
      </c>
    </row>
    <row r="17">
      <c r="A17" t="n">
        <v>722</v>
      </c>
      <c r="B17" t="inlineStr">
        <is>
          <t>TIENDA 78</t>
        </is>
      </c>
      <c r="C17" t="n">
        <v>5.2</v>
      </c>
      <c r="D17" t="n">
        <v>4.2</v>
      </c>
      <c r="E17" t="n">
        <v>6.9</v>
      </c>
      <c r="F17" s="1" t="n">
        <v>46112</v>
      </c>
      <c r="G17">
        <f>+VLOOKUP(A17,'maestro tiendas'!A:C, 3, 0)</f>
        <v/>
      </c>
      <c r="M17" t="inlineStr">
        <is>
          <t>PROVEEDOR 65</t>
        </is>
      </c>
      <c r="N17" t="inlineStr">
        <is>
          <t>PC6318596</t>
        </is>
      </c>
      <c r="O17" t="n">
        <v>25.82</v>
      </c>
    </row>
    <row r="18">
      <c r="A18" t="n">
        <v>100</v>
      </c>
      <c r="B18" t="inlineStr">
        <is>
          <t>TIENDA 35</t>
        </is>
      </c>
      <c r="C18" t="n">
        <v>2.3</v>
      </c>
      <c r="D18" t="n">
        <v>1.4</v>
      </c>
      <c r="E18" t="n">
        <v>8.800000000000001</v>
      </c>
      <c r="F18" s="1" t="n">
        <v>46112</v>
      </c>
      <c r="G18">
        <f>+VLOOKUP(A18,'maestro tiendas'!A:C, 3, 0)</f>
        <v/>
      </c>
      <c r="M18" t="inlineStr">
        <is>
          <t>PROVEEDOR 109</t>
        </is>
      </c>
      <c r="N18" t="inlineStr">
        <is>
          <t>PC3931065</t>
        </is>
      </c>
      <c r="O18" t="n">
        <v>5.51</v>
      </c>
    </row>
    <row r="19">
      <c r="A19" t="n">
        <v>773</v>
      </c>
      <c r="B19" t="inlineStr">
        <is>
          <t>TIENDA 105</t>
        </is>
      </c>
      <c r="C19" t="n">
        <v>5.2</v>
      </c>
      <c r="D19" t="n">
        <v>5.9</v>
      </c>
      <c r="E19" t="n">
        <v>9.800000000000001</v>
      </c>
      <c r="F19" s="1" t="n">
        <v>46112</v>
      </c>
      <c r="G19">
        <f>+VLOOKUP(A19,'maestro tiendas'!A:C, 3, 0)</f>
        <v/>
      </c>
      <c r="M19" t="inlineStr">
        <is>
          <t>PROVEEDOR 159</t>
        </is>
      </c>
      <c r="N19" t="inlineStr">
        <is>
          <t>PC3975129</t>
        </is>
      </c>
      <c r="O19" t="n">
        <v>29.64</v>
      </c>
    </row>
    <row r="20">
      <c r="A20" t="n">
        <v>596</v>
      </c>
      <c r="B20" t="inlineStr">
        <is>
          <t>TIENDA 333</t>
        </is>
      </c>
      <c r="C20" t="n">
        <v>6.6</v>
      </c>
      <c r="D20" t="n">
        <v>5.4</v>
      </c>
      <c r="E20" t="n">
        <v>2.2</v>
      </c>
      <c r="F20" s="1" t="n">
        <v>46112</v>
      </c>
      <c r="G20">
        <f>+VLOOKUP(A20,'maestro tiendas'!A:C, 3, 0)</f>
        <v/>
      </c>
      <c r="M20" t="inlineStr">
        <is>
          <t>PROVEEDOR 141</t>
        </is>
      </c>
      <c r="N20" t="inlineStr">
        <is>
          <t>PC2193349</t>
        </is>
      </c>
      <c r="O20" t="n">
        <v>9.75</v>
      </c>
    </row>
    <row r="21">
      <c r="A21" t="n">
        <v>209</v>
      </c>
      <c r="B21" t="inlineStr">
        <is>
          <t>TIENDA 453</t>
        </is>
      </c>
      <c r="C21" t="n">
        <v>8.800000000000001</v>
      </c>
      <c r="D21" t="n">
        <v>3.4</v>
      </c>
      <c r="E21" t="n">
        <v>5.4</v>
      </c>
      <c r="F21" s="1" t="n">
        <v>46112</v>
      </c>
      <c r="G21">
        <f>+VLOOKUP(A21,'maestro tiendas'!A:C, 3, 0)</f>
        <v/>
      </c>
      <c r="M21" t="inlineStr">
        <is>
          <t>PROVEEDOR 126</t>
        </is>
      </c>
      <c r="N21" t="inlineStr">
        <is>
          <t>PC1217304</t>
        </is>
      </c>
      <c r="O21" t="n">
        <v>29.62</v>
      </c>
    </row>
    <row r="22">
      <c r="A22" t="n">
        <v>771</v>
      </c>
      <c r="B22" t="inlineStr">
        <is>
          <t>TIENDA 300</t>
        </is>
      </c>
      <c r="C22" t="n">
        <v>2.9</v>
      </c>
      <c r="D22" t="n">
        <v>8.5</v>
      </c>
      <c r="E22" t="n">
        <v>2.4</v>
      </c>
      <c r="F22" s="1" t="n">
        <v>46112</v>
      </c>
      <c r="G22">
        <f>+VLOOKUP(A22,'maestro tiendas'!A:C, 3, 0)</f>
        <v/>
      </c>
      <c r="M22" t="inlineStr">
        <is>
          <t>PROVEEDOR 132</t>
        </is>
      </c>
      <c r="N22" t="inlineStr">
        <is>
          <t>PC1009415</t>
        </is>
      </c>
      <c r="O22" t="n">
        <v>11.69</v>
      </c>
    </row>
    <row r="23">
      <c r="A23" t="n">
        <v>805</v>
      </c>
      <c r="B23" t="inlineStr">
        <is>
          <t>TIENDA 308</t>
        </is>
      </c>
      <c r="C23" t="n">
        <v>2.1</v>
      </c>
      <c r="D23" t="n">
        <v>2.8</v>
      </c>
      <c r="E23" t="n">
        <v>7.9</v>
      </c>
      <c r="F23" s="1" t="n">
        <v>46112</v>
      </c>
      <c r="G23">
        <f>+VLOOKUP(A23,'maestro tiendas'!A:C, 3, 0)</f>
        <v/>
      </c>
      <c r="M23" t="inlineStr">
        <is>
          <t>PROVEEDOR 161</t>
        </is>
      </c>
      <c r="N23" t="inlineStr">
        <is>
          <t>PC1592994</t>
        </is>
      </c>
      <c r="O23" t="n">
        <v>4.29</v>
      </c>
    </row>
    <row r="24">
      <c r="A24" t="n">
        <v>629</v>
      </c>
      <c r="B24" t="inlineStr">
        <is>
          <t>TIENDA 158</t>
        </is>
      </c>
      <c r="C24" t="n">
        <v>9.6</v>
      </c>
      <c r="D24" t="n">
        <v>3.7</v>
      </c>
      <c r="E24" t="n">
        <v>7</v>
      </c>
      <c r="F24" s="1" t="n">
        <v>46112</v>
      </c>
      <c r="G24">
        <f>+VLOOKUP(A24,'maestro tiendas'!A:C, 3, 0)</f>
        <v/>
      </c>
    </row>
    <row r="25">
      <c r="A25" t="n">
        <v>536</v>
      </c>
      <c r="B25" t="inlineStr">
        <is>
          <t>TIENDA 478</t>
        </is>
      </c>
      <c r="C25" t="n">
        <v>9.699999999999999</v>
      </c>
      <c r="D25" t="n">
        <v>4.3</v>
      </c>
      <c r="E25" t="n">
        <v>9.300000000000001</v>
      </c>
      <c r="F25" s="1" t="n">
        <v>46112</v>
      </c>
      <c r="G25">
        <f>+VLOOKUP(A25,'maestro tiendas'!A:C, 3, 0)</f>
        <v/>
      </c>
    </row>
    <row r="26">
      <c r="A26" t="n">
        <v>149</v>
      </c>
      <c r="B26" t="inlineStr">
        <is>
          <t>TIENDA 211</t>
        </is>
      </c>
      <c r="C26" t="n">
        <v>7.5</v>
      </c>
      <c r="D26" t="n">
        <v>6.3</v>
      </c>
      <c r="E26" t="n">
        <v>1.2</v>
      </c>
      <c r="F26" s="1" t="n">
        <v>46112</v>
      </c>
      <c r="G26">
        <f>+VLOOKUP(A26,'maestro tiendas'!A:C, 3, 0)</f>
        <v/>
      </c>
    </row>
    <row r="27">
      <c r="A27" t="n">
        <v>826</v>
      </c>
      <c r="B27" t="inlineStr">
        <is>
          <t>TIENDA 35</t>
        </is>
      </c>
      <c r="C27" t="n">
        <v>4.6</v>
      </c>
      <c r="D27" t="n">
        <v>9.6</v>
      </c>
      <c r="E27" t="n">
        <v>4.5</v>
      </c>
      <c r="F27" s="1" t="n">
        <v>46112</v>
      </c>
      <c r="G27">
        <f>+VLOOKUP(A27,'maestro tiendas'!A:C, 3, 0)</f>
        <v/>
      </c>
    </row>
    <row r="28">
      <c r="A28" t="n">
        <v>691</v>
      </c>
      <c r="B28" t="inlineStr">
        <is>
          <t>TIENDA 321</t>
        </is>
      </c>
      <c r="C28" t="n">
        <v>5.9</v>
      </c>
      <c r="D28" t="n">
        <v>4.4</v>
      </c>
      <c r="E28" t="n">
        <v>3.4</v>
      </c>
      <c r="F28" s="1" t="n">
        <v>46112</v>
      </c>
      <c r="G28">
        <f>+VLOOKUP(A28,'maestro tiendas'!A:C, 3, 0)</f>
        <v/>
      </c>
    </row>
    <row r="29">
      <c r="A29" t="n">
        <v>580</v>
      </c>
      <c r="B29" t="inlineStr">
        <is>
          <t>TIENDA 85</t>
        </is>
      </c>
      <c r="C29" t="n">
        <v>3.3</v>
      </c>
      <c r="D29" t="n">
        <v>2.7</v>
      </c>
      <c r="E29" t="n">
        <v>1.9</v>
      </c>
      <c r="F29" s="1" t="n">
        <v>46112</v>
      </c>
      <c r="G29">
        <f>+VLOOKUP(A29,'maestro tiendas'!A:C, 3, 0)</f>
        <v/>
      </c>
    </row>
    <row r="30">
      <c r="A30" t="n">
        <v>701</v>
      </c>
      <c r="B30" t="inlineStr">
        <is>
          <t>TIENDA 182</t>
        </is>
      </c>
      <c r="C30" t="n">
        <v>5.6</v>
      </c>
      <c r="D30" t="n">
        <v>2.5</v>
      </c>
      <c r="E30" t="n">
        <v>8.5</v>
      </c>
      <c r="F30" s="1" t="n">
        <v>46112</v>
      </c>
      <c r="G30">
        <f>+VLOOKUP(A30,'maestro tiendas'!A:C, 3, 0)</f>
        <v/>
      </c>
    </row>
    <row r="31">
      <c r="A31" t="n">
        <v>120</v>
      </c>
      <c r="B31" t="inlineStr">
        <is>
          <t>TIENDA 193</t>
        </is>
      </c>
      <c r="C31" t="n">
        <v>2.8</v>
      </c>
      <c r="D31" t="n">
        <v>7.7</v>
      </c>
      <c r="E31" t="n">
        <v>7.6</v>
      </c>
      <c r="F31" s="1" t="n">
        <v>46112</v>
      </c>
      <c r="G31">
        <f>+VLOOKUP(A31,'maestro tiendas'!A:C, 3, 0)</f>
        <v/>
      </c>
    </row>
    <row r="32">
      <c r="A32" t="n">
        <v>130</v>
      </c>
      <c r="B32" t="inlineStr">
        <is>
          <t>TIENDA 304</t>
        </is>
      </c>
      <c r="C32" t="n">
        <v>6</v>
      </c>
      <c r="D32" t="n">
        <v>9.9</v>
      </c>
      <c r="E32" t="n">
        <v>9.9</v>
      </c>
      <c r="F32" s="1" t="n">
        <v>46112</v>
      </c>
      <c r="G32">
        <f>+VLOOKUP(A32,'maestro tiendas'!A:C, 3, 0)</f>
        <v/>
      </c>
    </row>
    <row r="33">
      <c r="A33" t="n">
        <v>344</v>
      </c>
      <c r="B33" t="inlineStr">
        <is>
          <t>TIENDA 417</t>
        </is>
      </c>
      <c r="C33" t="n">
        <v>7.8</v>
      </c>
      <c r="D33" t="n">
        <v>5.2</v>
      </c>
      <c r="E33" t="n">
        <v>9</v>
      </c>
      <c r="F33" s="1" t="n">
        <v>46112</v>
      </c>
      <c r="G33">
        <f>+VLOOKUP(A33,'maestro tiendas'!A:C, 3, 0)</f>
        <v/>
      </c>
    </row>
    <row r="34">
      <c r="A34" t="n">
        <v>874</v>
      </c>
      <c r="B34" t="inlineStr">
        <is>
          <t>TIENDA 144</t>
        </is>
      </c>
      <c r="C34" t="n">
        <v>3.8</v>
      </c>
      <c r="D34" t="n">
        <v>7.1</v>
      </c>
      <c r="E34" t="n">
        <v>2.6</v>
      </c>
      <c r="F34" s="1" t="n">
        <v>46112</v>
      </c>
      <c r="G34">
        <f>+VLOOKUP(A34,'maestro tiendas'!A:C, 3, 0)</f>
        <v/>
      </c>
    </row>
    <row r="35">
      <c r="A35" t="n">
        <v>676</v>
      </c>
      <c r="B35" t="inlineStr">
        <is>
          <t>TIENDA 267</t>
        </is>
      </c>
      <c r="C35" t="n">
        <v>5.7</v>
      </c>
      <c r="D35" t="n">
        <v>5</v>
      </c>
      <c r="E35" t="n">
        <v>4.8</v>
      </c>
      <c r="F35" s="1" t="n">
        <v>46112</v>
      </c>
      <c r="G35">
        <f>+VLOOKUP(A35,'maestro tiendas'!A:C, 3, 0)</f>
        <v/>
      </c>
    </row>
    <row r="36">
      <c r="A36" t="n">
        <v>131</v>
      </c>
      <c r="B36" t="inlineStr">
        <is>
          <t>TIENDA 150</t>
        </is>
      </c>
      <c r="C36" t="n">
        <v>10</v>
      </c>
      <c r="D36" t="n">
        <v>2</v>
      </c>
      <c r="E36" t="n">
        <v>1.7</v>
      </c>
      <c r="F36" s="1" t="n">
        <v>46112</v>
      </c>
      <c r="G36">
        <f>+VLOOKUP(A36,'maestro tiendas'!A:C, 3, 0)</f>
        <v/>
      </c>
    </row>
    <row r="37">
      <c r="A37" t="n">
        <v>768</v>
      </c>
      <c r="B37" t="inlineStr">
        <is>
          <t>TIENDA 290</t>
        </is>
      </c>
      <c r="C37" t="n">
        <v>1.5</v>
      </c>
      <c r="D37" t="n">
        <v>9.4</v>
      </c>
      <c r="E37" t="n">
        <v>5.3</v>
      </c>
      <c r="F37" s="1" t="n">
        <v>46112</v>
      </c>
      <c r="G37">
        <f>+VLOOKUP(A37,'maestro tiendas'!A:C, 3, 0)</f>
        <v/>
      </c>
    </row>
    <row r="38">
      <c r="A38" t="n">
        <v>691</v>
      </c>
      <c r="B38" t="inlineStr">
        <is>
          <t>TIENDA 346</t>
        </is>
      </c>
      <c r="C38" t="n">
        <v>3.8</v>
      </c>
      <c r="D38" t="n">
        <v>5.3</v>
      </c>
      <c r="E38" t="n">
        <v>5.6</v>
      </c>
      <c r="F38" s="1" t="n">
        <v>46112</v>
      </c>
      <c r="G38">
        <f>+VLOOKUP(A38,'maestro tiendas'!A:C, 3, 0)</f>
        <v/>
      </c>
    </row>
    <row r="39">
      <c r="A39" t="n">
        <v>930</v>
      </c>
      <c r="B39" t="inlineStr">
        <is>
          <t>TIENDA 331</t>
        </is>
      </c>
      <c r="C39" t="n">
        <v>3.6</v>
      </c>
      <c r="D39" t="n">
        <v>4.6</v>
      </c>
      <c r="E39" t="n">
        <v>5.3</v>
      </c>
      <c r="F39" s="1" t="n">
        <v>46112</v>
      </c>
      <c r="G39">
        <f>+VLOOKUP(A39,'maestro tiendas'!A:C, 3, 0)</f>
        <v/>
      </c>
    </row>
    <row r="40">
      <c r="A40" t="n">
        <v>680</v>
      </c>
      <c r="B40" t="inlineStr">
        <is>
          <t>TIENDA 438</t>
        </is>
      </c>
      <c r="C40" t="n">
        <v>2.3</v>
      </c>
      <c r="D40" t="n">
        <v>7.2</v>
      </c>
      <c r="E40" t="n">
        <v>4.4</v>
      </c>
      <c r="F40" s="1" t="n">
        <v>46112</v>
      </c>
      <c r="G40">
        <f>+VLOOKUP(A40,'maestro tiendas'!A:C, 3, 0)</f>
        <v/>
      </c>
    </row>
    <row r="41">
      <c r="A41" t="n">
        <v>468</v>
      </c>
      <c r="B41" t="inlineStr">
        <is>
          <t>TIENDA 358</t>
        </is>
      </c>
      <c r="C41" t="n">
        <v>6.5</v>
      </c>
      <c r="D41" t="n">
        <v>5.3</v>
      </c>
      <c r="E41" t="n">
        <v>5</v>
      </c>
      <c r="F41" s="1" t="n">
        <v>46112</v>
      </c>
      <c r="G41">
        <f>+VLOOKUP(A41,'maestro tiendas'!A:C, 3, 0)</f>
        <v/>
      </c>
    </row>
    <row r="42">
      <c r="A42" t="n">
        <v>682</v>
      </c>
      <c r="B42" t="inlineStr">
        <is>
          <t>TIENDA 497</t>
        </is>
      </c>
      <c r="C42" t="n">
        <v>7.3</v>
      </c>
      <c r="D42" t="n">
        <v>5.2</v>
      </c>
      <c r="E42" t="n">
        <v>9.4</v>
      </c>
      <c r="F42" s="1" t="n">
        <v>46112</v>
      </c>
      <c r="G42">
        <f>+VLOOKUP(A42,'maestro tiendas'!A:C, 3, 0)</f>
        <v/>
      </c>
    </row>
    <row r="43">
      <c r="A43" t="n">
        <v>905</v>
      </c>
      <c r="B43" t="inlineStr">
        <is>
          <t>TIENDA 427</t>
        </is>
      </c>
      <c r="C43" t="n">
        <v>6.3</v>
      </c>
      <c r="D43" t="n">
        <v>9.6</v>
      </c>
      <c r="E43" t="n">
        <v>8.300000000000001</v>
      </c>
      <c r="F43" s="1" t="n">
        <v>46112</v>
      </c>
      <c r="G43">
        <f>+VLOOKUP(A43,'maestro tiendas'!A:C, 3, 0)</f>
        <v/>
      </c>
    </row>
    <row r="44">
      <c r="A44" t="n">
        <v>409</v>
      </c>
      <c r="B44" t="inlineStr">
        <is>
          <t>TIENDA 153</t>
        </is>
      </c>
      <c r="C44" t="n">
        <v>7.5</v>
      </c>
      <c r="D44" t="n">
        <v>8</v>
      </c>
      <c r="E44" t="n">
        <v>7.6</v>
      </c>
      <c r="F44" s="1" t="n">
        <v>46112</v>
      </c>
      <c r="G44">
        <f>+VLOOKUP(A44,'maestro tiendas'!A:C, 3, 0)</f>
        <v/>
      </c>
    </row>
    <row r="45">
      <c r="A45" t="n">
        <v>925</v>
      </c>
      <c r="B45" t="inlineStr">
        <is>
          <t>TIENDA 90</t>
        </is>
      </c>
      <c r="C45" t="n">
        <v>4.2</v>
      </c>
      <c r="D45" t="n">
        <v>7.6</v>
      </c>
      <c r="E45" t="n">
        <v>9</v>
      </c>
      <c r="F45" s="1" t="n">
        <v>46112</v>
      </c>
      <c r="G45">
        <f>+VLOOKUP(A45,'maestro tiendas'!A:C, 3, 0)</f>
        <v/>
      </c>
    </row>
    <row r="46">
      <c r="A46" t="n">
        <v>139</v>
      </c>
      <c r="B46" t="inlineStr">
        <is>
          <t>TIENDA 150</t>
        </is>
      </c>
      <c r="C46" t="n">
        <v>5.4</v>
      </c>
      <c r="D46" t="n">
        <v>5.4</v>
      </c>
      <c r="E46" t="n">
        <v>3.5</v>
      </c>
      <c r="F46" s="1" t="n">
        <v>46112</v>
      </c>
      <c r="G46">
        <f>+VLOOKUP(A46,'maestro tiendas'!A:C, 3, 0)</f>
        <v/>
      </c>
    </row>
    <row r="47">
      <c r="A47" t="n">
        <v>316</v>
      </c>
      <c r="B47" t="inlineStr">
        <is>
          <t>TIENDA 328</t>
        </is>
      </c>
      <c r="C47" t="n">
        <v>5.2</v>
      </c>
      <c r="D47" t="n">
        <v>9.199999999999999</v>
      </c>
      <c r="E47" t="n">
        <v>9.5</v>
      </c>
      <c r="F47" s="1" t="n">
        <v>46112</v>
      </c>
      <c r="G47">
        <f>+VLOOKUP(A47,'maestro tiendas'!A:C, 3, 0)</f>
        <v/>
      </c>
    </row>
    <row r="48">
      <c r="A48" t="n">
        <v>225</v>
      </c>
      <c r="B48" t="inlineStr">
        <is>
          <t>TIENDA 467</t>
        </is>
      </c>
      <c r="C48" t="n">
        <v>8.699999999999999</v>
      </c>
      <c r="D48" t="n">
        <v>2.7</v>
      </c>
      <c r="E48" t="n">
        <v>7.3</v>
      </c>
      <c r="F48" s="1" t="n">
        <v>46112</v>
      </c>
      <c r="G48">
        <f>+VLOOKUP(A48,'maestro tiendas'!A:C, 3, 0)</f>
        <v/>
      </c>
    </row>
    <row r="49">
      <c r="A49" t="n">
        <v>853</v>
      </c>
      <c r="B49" t="inlineStr">
        <is>
          <t>TIENDA 191</t>
        </is>
      </c>
      <c r="C49" t="n">
        <v>2.2</v>
      </c>
      <c r="D49" t="n">
        <v>9</v>
      </c>
      <c r="E49" t="n">
        <v>6.7</v>
      </c>
      <c r="F49" s="1" t="n">
        <v>46112</v>
      </c>
      <c r="G49">
        <f>+VLOOKUP(A49,'maestro tiendas'!A:C, 3, 0)</f>
        <v/>
      </c>
    </row>
    <row r="50">
      <c r="A50" t="n">
        <v>976</v>
      </c>
      <c r="B50" t="inlineStr">
        <is>
          <t>TIENDA 351</t>
        </is>
      </c>
      <c r="C50" t="n">
        <v>9.699999999999999</v>
      </c>
      <c r="D50" t="n">
        <v>4.9</v>
      </c>
      <c r="E50" t="n">
        <v>5.7</v>
      </c>
      <c r="F50" s="1" t="n">
        <v>46112</v>
      </c>
      <c r="G50">
        <f>+VLOOKUP(A50,'maestro tiendas'!A:C, 3, 0)</f>
        <v/>
      </c>
    </row>
    <row r="51">
      <c r="A51" t="n">
        <v>473</v>
      </c>
      <c r="B51" t="inlineStr">
        <is>
          <t>TIENDA 317</t>
        </is>
      </c>
      <c r="C51" t="n">
        <v>3.8</v>
      </c>
      <c r="D51" t="n">
        <v>2.5</v>
      </c>
      <c r="E51" t="n">
        <v>5.1</v>
      </c>
      <c r="F51" s="1" t="n">
        <v>46112</v>
      </c>
      <c r="G51">
        <f>+VLOOKUP(A51,'maestro tiendas'!A:C, 3, 0)</f>
        <v/>
      </c>
    </row>
    <row r="52">
      <c r="A52" t="n">
        <v>917</v>
      </c>
      <c r="B52" t="inlineStr">
        <is>
          <t>TIENDA 202</t>
        </is>
      </c>
      <c r="C52" t="n">
        <v>5.9</v>
      </c>
      <c r="D52" t="n">
        <v>6.5</v>
      </c>
      <c r="E52" t="n">
        <v>8.1</v>
      </c>
      <c r="F52" s="1" t="n">
        <v>46112</v>
      </c>
      <c r="G52">
        <f>+VLOOKUP(A52,'maestro tiendas'!A:C, 3, 0)</f>
        <v/>
      </c>
    </row>
    <row r="53">
      <c r="A53" t="n">
        <v>476</v>
      </c>
      <c r="B53" t="inlineStr">
        <is>
          <t>TIENDA 487</t>
        </is>
      </c>
      <c r="C53" t="n">
        <v>1.1</v>
      </c>
      <c r="D53" t="n">
        <v>3.8</v>
      </c>
      <c r="E53" t="n">
        <v>7.9</v>
      </c>
      <c r="F53" s="1" t="n">
        <v>46112</v>
      </c>
      <c r="G53">
        <f>+VLOOKUP(A53,'maestro tiendas'!A:C, 3, 0)</f>
        <v/>
      </c>
    </row>
    <row r="54">
      <c r="A54" t="n">
        <v>153</v>
      </c>
      <c r="B54" t="inlineStr">
        <is>
          <t>TIENDA 278</t>
        </is>
      </c>
      <c r="C54" t="n">
        <v>8.300000000000001</v>
      </c>
      <c r="D54" t="n">
        <v>9.9</v>
      </c>
      <c r="E54" t="n">
        <v>7.1</v>
      </c>
      <c r="F54" s="1" t="n">
        <v>46112</v>
      </c>
      <c r="G54">
        <f>+VLOOKUP(A54,'maestro tiendas'!A:C, 3, 0)</f>
        <v/>
      </c>
    </row>
    <row r="55">
      <c r="A55" t="n">
        <v>492</v>
      </c>
      <c r="B55" t="inlineStr">
        <is>
          <t>TIENDA 405</t>
        </is>
      </c>
      <c r="C55" t="n">
        <v>2.8</v>
      </c>
      <c r="D55" t="n">
        <v>1.9</v>
      </c>
      <c r="E55" t="n">
        <v>7</v>
      </c>
      <c r="F55" s="1" t="n">
        <v>46112</v>
      </c>
      <c r="G55">
        <f>+VLOOKUP(A55,'maestro tiendas'!A:C, 3, 0)</f>
        <v/>
      </c>
    </row>
    <row r="56">
      <c r="A56" t="n">
        <v>407</v>
      </c>
      <c r="B56" t="inlineStr">
        <is>
          <t>TIENDA 200</t>
        </is>
      </c>
      <c r="C56" t="n">
        <v>6</v>
      </c>
      <c r="D56" t="n">
        <v>7.9</v>
      </c>
      <c r="E56" t="n">
        <v>3.6</v>
      </c>
      <c r="F56" s="1" t="n">
        <v>46112</v>
      </c>
      <c r="G56">
        <f>+VLOOKUP(A56,'maestro tiendas'!A:C, 3, 0)</f>
        <v/>
      </c>
    </row>
    <row r="57">
      <c r="A57" t="n">
        <v>650</v>
      </c>
      <c r="B57" t="inlineStr">
        <is>
          <t>TIENDA 413</t>
        </is>
      </c>
      <c r="C57" t="n">
        <v>7.9</v>
      </c>
      <c r="D57" t="n">
        <v>3.2</v>
      </c>
      <c r="E57" t="n">
        <v>5</v>
      </c>
      <c r="F57" s="1" t="n">
        <v>46112</v>
      </c>
      <c r="G57">
        <f>+VLOOKUP(A57,'maestro tiendas'!A:C, 3, 0)</f>
        <v/>
      </c>
    </row>
    <row r="58">
      <c r="A58" t="n">
        <v>761</v>
      </c>
      <c r="B58" t="inlineStr">
        <is>
          <t>TIENDA 340</t>
        </is>
      </c>
      <c r="C58" t="n">
        <v>9</v>
      </c>
      <c r="D58" t="n">
        <v>1.2</v>
      </c>
      <c r="E58" t="n">
        <v>7.5</v>
      </c>
      <c r="F58" s="1" t="n">
        <v>46112</v>
      </c>
      <c r="G58">
        <f>+VLOOKUP(A58,'maestro tiendas'!A:C, 3, 0)</f>
        <v/>
      </c>
    </row>
    <row r="59">
      <c r="A59" t="n">
        <v>279</v>
      </c>
      <c r="B59" t="inlineStr">
        <is>
          <t>TIENDA 447</t>
        </is>
      </c>
      <c r="C59" t="n">
        <v>5.1</v>
      </c>
      <c r="D59" t="n">
        <v>1.2</v>
      </c>
      <c r="E59" t="n">
        <v>8.6</v>
      </c>
      <c r="F59" s="1" t="n">
        <v>46112</v>
      </c>
      <c r="G59">
        <f>+VLOOKUP(A59,'maestro tiendas'!A:C, 3, 0)</f>
        <v/>
      </c>
    </row>
    <row r="60">
      <c r="A60" t="n">
        <v>641</v>
      </c>
      <c r="B60" t="inlineStr">
        <is>
          <t>TIENDA 354</t>
        </is>
      </c>
      <c r="C60" t="n">
        <v>2.4</v>
      </c>
      <c r="D60" t="n">
        <v>2.7</v>
      </c>
      <c r="E60" t="n">
        <v>3.6</v>
      </c>
      <c r="F60" s="1" t="n">
        <v>46112</v>
      </c>
      <c r="G60">
        <f>+VLOOKUP(A60,'maestro tiendas'!A:C, 3, 0)</f>
        <v/>
      </c>
    </row>
    <row r="61">
      <c r="A61" t="n">
        <v>114</v>
      </c>
      <c r="B61" t="inlineStr">
        <is>
          <t>TIENDA 323</t>
        </is>
      </c>
      <c r="C61" t="n">
        <v>7.3</v>
      </c>
      <c r="D61" t="n">
        <v>4.3</v>
      </c>
      <c r="E61" t="n">
        <v>2.7</v>
      </c>
      <c r="F61" s="1" t="n">
        <v>46112</v>
      </c>
      <c r="G61">
        <f>+VLOOKUP(A61,'maestro tiendas'!A:C, 3, 0)</f>
        <v/>
      </c>
    </row>
    <row r="62">
      <c r="A62" t="n">
        <v>435</v>
      </c>
      <c r="B62" t="inlineStr">
        <is>
          <t>TIENDA 366</t>
        </is>
      </c>
      <c r="C62" t="n">
        <v>7.6</v>
      </c>
      <c r="D62" t="n">
        <v>4.3</v>
      </c>
      <c r="E62" t="n">
        <v>2.7</v>
      </c>
      <c r="F62" s="1" t="n">
        <v>46112</v>
      </c>
      <c r="G62">
        <f>+VLOOKUP(A62,'maestro tiendas'!A:C, 3, 0)</f>
        <v/>
      </c>
    </row>
    <row r="63">
      <c r="A63" t="n">
        <v>992</v>
      </c>
      <c r="B63" t="inlineStr">
        <is>
          <t>TIENDA 119</t>
        </is>
      </c>
      <c r="C63" t="n">
        <v>6.2</v>
      </c>
      <c r="D63" t="n">
        <v>6.3</v>
      </c>
      <c r="E63" t="n">
        <v>2.3</v>
      </c>
      <c r="F63" s="1" t="n">
        <v>46112</v>
      </c>
      <c r="G63">
        <f>+VLOOKUP(A63,'maestro tiendas'!A:C, 3, 0)</f>
        <v/>
      </c>
    </row>
    <row r="64">
      <c r="A64" t="n">
        <v>985</v>
      </c>
      <c r="B64" t="inlineStr">
        <is>
          <t>TIENDA 182</t>
        </is>
      </c>
      <c r="C64" t="n">
        <v>7.8</v>
      </c>
      <c r="D64" t="n">
        <v>1.8</v>
      </c>
      <c r="E64" t="n">
        <v>8.699999999999999</v>
      </c>
      <c r="F64" s="1" t="n">
        <v>46112</v>
      </c>
      <c r="G64">
        <f>+VLOOKUP(A64,'maestro tiendas'!A:C, 3, 0)</f>
        <v/>
      </c>
    </row>
    <row r="65">
      <c r="A65" t="n">
        <v>979</v>
      </c>
      <c r="B65" t="inlineStr">
        <is>
          <t>TIENDA 81</t>
        </is>
      </c>
      <c r="C65" t="n">
        <v>3</v>
      </c>
      <c r="D65" t="n">
        <v>6.5</v>
      </c>
      <c r="E65" t="n">
        <v>2.4</v>
      </c>
      <c r="F65" s="1" t="n">
        <v>46112</v>
      </c>
      <c r="G65">
        <f>+VLOOKUP(A65,'maestro tiendas'!A:C, 3, 0)</f>
        <v/>
      </c>
    </row>
    <row r="66">
      <c r="A66" t="n">
        <v>287</v>
      </c>
      <c r="B66" t="inlineStr">
        <is>
          <t>TIENDA 154</t>
        </is>
      </c>
      <c r="C66" t="n">
        <v>5.3</v>
      </c>
      <c r="D66" t="n">
        <v>6.7</v>
      </c>
      <c r="E66" t="n">
        <v>6.5</v>
      </c>
      <c r="F66" s="1" t="n">
        <v>46112</v>
      </c>
      <c r="G66">
        <f>+VLOOKUP(A66,'maestro tiendas'!A:C, 3, 0)</f>
        <v/>
      </c>
    </row>
    <row r="67">
      <c r="A67" t="n">
        <v>142</v>
      </c>
      <c r="B67" t="inlineStr">
        <is>
          <t>TIENDA 231</t>
        </is>
      </c>
      <c r="C67" t="n">
        <v>6.3</v>
      </c>
      <c r="D67" t="n">
        <v>7.8</v>
      </c>
      <c r="E67" t="n">
        <v>7.9</v>
      </c>
      <c r="F67" s="1" t="n">
        <v>46112</v>
      </c>
      <c r="G67">
        <f>+VLOOKUP(A67,'maestro tiendas'!A:C, 3, 0)</f>
        <v/>
      </c>
    </row>
    <row r="68">
      <c r="A68" t="n">
        <v>387</v>
      </c>
      <c r="B68" t="inlineStr">
        <is>
          <t>TIENDA 43</t>
        </is>
      </c>
      <c r="C68" t="n">
        <v>8.9</v>
      </c>
      <c r="D68" t="n">
        <v>10</v>
      </c>
      <c r="E68" t="n">
        <v>9</v>
      </c>
      <c r="F68" s="1" t="n">
        <v>46112</v>
      </c>
      <c r="G68">
        <f>+VLOOKUP(A68,'maestro tiendas'!A:C, 3, 0)</f>
        <v/>
      </c>
    </row>
    <row r="69">
      <c r="A69" t="n">
        <v>433</v>
      </c>
      <c r="B69" t="inlineStr">
        <is>
          <t>TIENDA 7</t>
        </is>
      </c>
      <c r="C69" t="n">
        <v>7.4</v>
      </c>
      <c r="D69" t="n">
        <v>5.2</v>
      </c>
      <c r="E69" t="n">
        <v>4.4</v>
      </c>
      <c r="F69" s="1" t="n">
        <v>46112</v>
      </c>
      <c r="G69">
        <f>+VLOOKUP(A69,'maestro tiendas'!A:C, 3, 0)</f>
        <v/>
      </c>
    </row>
    <row r="70">
      <c r="A70" t="n">
        <v>397</v>
      </c>
      <c r="B70" t="inlineStr">
        <is>
          <t>TIENDA 304</t>
        </is>
      </c>
      <c r="C70" t="n">
        <v>8.699999999999999</v>
      </c>
      <c r="D70" t="n">
        <v>5.3</v>
      </c>
      <c r="E70" t="n">
        <v>7.1</v>
      </c>
      <c r="F70" s="1" t="n">
        <v>46112</v>
      </c>
      <c r="G70">
        <f>+VLOOKUP(A70,'maestro tiendas'!A:C, 3, 0)</f>
        <v/>
      </c>
    </row>
    <row r="71">
      <c r="A71" t="n">
        <v>262</v>
      </c>
      <c r="B71" t="inlineStr">
        <is>
          <t>TIENDA 306</t>
        </is>
      </c>
      <c r="C71" t="n">
        <v>2.8</v>
      </c>
      <c r="D71" t="n">
        <v>7.1</v>
      </c>
      <c r="E71" t="n">
        <v>5.7</v>
      </c>
      <c r="F71" s="1" t="n">
        <v>46112</v>
      </c>
      <c r="G71">
        <f>+VLOOKUP(A71,'maestro tiendas'!A:C, 3, 0)</f>
        <v/>
      </c>
    </row>
    <row r="72">
      <c r="A72" t="n">
        <v>281</v>
      </c>
      <c r="B72" t="inlineStr">
        <is>
          <t>TIENDA 242</t>
        </is>
      </c>
      <c r="C72" t="n">
        <v>2.2</v>
      </c>
      <c r="D72" t="n">
        <v>6.6</v>
      </c>
      <c r="E72" t="n">
        <v>5</v>
      </c>
      <c r="F72" s="1" t="n">
        <v>46112</v>
      </c>
      <c r="G72">
        <f>+VLOOKUP(A72,'maestro tiendas'!A:C, 3, 0)</f>
        <v/>
      </c>
    </row>
    <row r="73">
      <c r="A73" t="n">
        <v>470</v>
      </c>
      <c r="B73" t="inlineStr">
        <is>
          <t>TIENDA 301</t>
        </is>
      </c>
      <c r="C73" t="n">
        <v>3.5</v>
      </c>
      <c r="D73" t="n">
        <v>7.8</v>
      </c>
      <c r="E73" t="n">
        <v>4.3</v>
      </c>
      <c r="F73" s="1" t="n">
        <v>46112</v>
      </c>
      <c r="G73">
        <f>+VLOOKUP(A73,'maestro tiendas'!A:C, 3, 0)</f>
        <v/>
      </c>
    </row>
    <row r="74">
      <c r="A74" t="n">
        <v>887</v>
      </c>
      <c r="B74" t="inlineStr">
        <is>
          <t>TIENDA 284</t>
        </is>
      </c>
      <c r="C74" t="n">
        <v>9.6</v>
      </c>
      <c r="D74" t="n">
        <v>4.5</v>
      </c>
      <c r="E74" t="n">
        <v>8.6</v>
      </c>
      <c r="F74" s="1" t="n">
        <v>46112</v>
      </c>
      <c r="G74">
        <f>+VLOOKUP(A74,'maestro tiendas'!A:C, 3, 0)</f>
        <v/>
      </c>
    </row>
    <row r="75">
      <c r="A75" t="n">
        <v>288</v>
      </c>
      <c r="B75" t="inlineStr">
        <is>
          <t>TIENDA 139</t>
        </is>
      </c>
      <c r="C75" t="n">
        <v>6.4</v>
      </c>
      <c r="D75" t="n">
        <v>7.6</v>
      </c>
      <c r="E75" t="n">
        <v>2.8</v>
      </c>
      <c r="F75" s="1" t="n">
        <v>46112</v>
      </c>
      <c r="G75">
        <f>+VLOOKUP(A75,'maestro tiendas'!A:C, 3, 0)</f>
        <v/>
      </c>
    </row>
    <row r="76">
      <c r="A76" t="n">
        <v>597</v>
      </c>
      <c r="B76" t="inlineStr">
        <is>
          <t>TIENDA 1</t>
        </is>
      </c>
      <c r="C76" t="n">
        <v>6.5</v>
      </c>
      <c r="D76" t="n">
        <v>2.5</v>
      </c>
      <c r="E76" t="n">
        <v>8.5</v>
      </c>
      <c r="F76" s="1" t="n">
        <v>46112</v>
      </c>
      <c r="G76">
        <f>+VLOOKUP(A76,'maestro tiendas'!A:C, 3, 0)</f>
        <v/>
      </c>
    </row>
    <row r="77">
      <c r="A77" t="n">
        <v>869</v>
      </c>
      <c r="B77" t="inlineStr">
        <is>
          <t>TIENDA 156</t>
        </is>
      </c>
      <c r="C77" t="n">
        <v>7.4</v>
      </c>
      <c r="D77" t="n">
        <v>6.1</v>
      </c>
      <c r="E77" t="n">
        <v>5.6</v>
      </c>
      <c r="F77" s="1" t="n">
        <v>46112</v>
      </c>
      <c r="G77">
        <f>+VLOOKUP(A77,'maestro tiendas'!A:C, 3, 0)</f>
        <v/>
      </c>
    </row>
    <row r="78">
      <c r="A78" t="n">
        <v>885</v>
      </c>
      <c r="B78" t="inlineStr">
        <is>
          <t>TIENDA 133</t>
        </is>
      </c>
      <c r="C78" t="n">
        <v>6.6</v>
      </c>
      <c r="D78" t="n">
        <v>1</v>
      </c>
      <c r="E78" t="n">
        <v>4.2</v>
      </c>
      <c r="F78" s="1" t="n">
        <v>46112</v>
      </c>
      <c r="G78">
        <f>+VLOOKUP(A78,'maestro tiendas'!A:C, 3, 0)</f>
        <v/>
      </c>
    </row>
    <row r="79">
      <c r="A79" t="n">
        <v>681</v>
      </c>
      <c r="B79" t="inlineStr">
        <is>
          <t>TIENDA 463</t>
        </is>
      </c>
      <c r="C79" t="n">
        <v>2.5</v>
      </c>
      <c r="D79" t="n">
        <v>1.9</v>
      </c>
      <c r="E79" t="n">
        <v>7</v>
      </c>
      <c r="F79" s="1" t="n">
        <v>46112</v>
      </c>
      <c r="G79">
        <f>+VLOOKUP(A79,'maestro tiendas'!A:C, 3, 0)</f>
        <v/>
      </c>
    </row>
    <row r="80">
      <c r="A80" t="n">
        <v>619</v>
      </c>
      <c r="B80" t="inlineStr">
        <is>
          <t>TIENDA 416</t>
        </is>
      </c>
      <c r="C80" t="n">
        <v>6.3</v>
      </c>
      <c r="D80" t="n">
        <v>9.5</v>
      </c>
      <c r="E80" t="n">
        <v>3.6</v>
      </c>
      <c r="F80" s="1" t="n">
        <v>46112</v>
      </c>
      <c r="G80">
        <f>+VLOOKUP(A80,'maestro tiendas'!A:C, 3, 0)</f>
        <v/>
      </c>
    </row>
    <row r="81">
      <c r="A81" t="n">
        <v>102</v>
      </c>
      <c r="B81" t="inlineStr">
        <is>
          <t>TIENDA 321</t>
        </is>
      </c>
      <c r="C81" t="n">
        <v>8.199999999999999</v>
      </c>
      <c r="D81" t="n">
        <v>9.4</v>
      </c>
      <c r="E81" t="n">
        <v>5.5</v>
      </c>
      <c r="F81" s="1" t="n">
        <v>46112</v>
      </c>
      <c r="G81">
        <f>+VLOOKUP(A81,'maestro tiendas'!A:C, 3, 0)</f>
        <v/>
      </c>
    </row>
    <row r="82">
      <c r="A82" t="n">
        <v>739</v>
      </c>
      <c r="B82" t="inlineStr">
        <is>
          <t>TIENDA 416</t>
        </is>
      </c>
      <c r="C82" t="n">
        <v>2.4</v>
      </c>
      <c r="D82" t="n">
        <v>5.1</v>
      </c>
      <c r="E82" t="n">
        <v>5.3</v>
      </c>
      <c r="F82" s="1" t="n">
        <v>46112</v>
      </c>
      <c r="G82">
        <f>+VLOOKUP(A82,'maestro tiendas'!A:C, 3, 0)</f>
        <v/>
      </c>
    </row>
    <row r="83">
      <c r="A83" t="n">
        <v>643</v>
      </c>
      <c r="B83" t="inlineStr">
        <is>
          <t>TIENDA 54</t>
        </is>
      </c>
      <c r="C83" t="n">
        <v>6</v>
      </c>
      <c r="D83" t="n">
        <v>7.9</v>
      </c>
      <c r="E83" t="n">
        <v>7.8</v>
      </c>
      <c r="F83" s="1" t="n">
        <v>46112</v>
      </c>
      <c r="G83">
        <f>+VLOOKUP(A83,'maestro tiendas'!A:C, 3, 0)</f>
        <v/>
      </c>
    </row>
    <row r="84">
      <c r="A84" t="n">
        <v>186</v>
      </c>
      <c r="B84" t="inlineStr">
        <is>
          <t>TIENDA 334</t>
        </is>
      </c>
      <c r="C84" t="n">
        <v>3.9</v>
      </c>
      <c r="D84" t="n">
        <v>6.5</v>
      </c>
      <c r="E84" t="n">
        <v>2.7</v>
      </c>
      <c r="F84" s="1" t="n">
        <v>46112</v>
      </c>
      <c r="G84">
        <f>+VLOOKUP(A84,'maestro tiendas'!A:C, 3, 0)</f>
        <v/>
      </c>
    </row>
    <row r="85">
      <c r="A85" t="n">
        <v>971</v>
      </c>
      <c r="B85" t="inlineStr">
        <is>
          <t>TIENDA 140</t>
        </is>
      </c>
      <c r="C85" t="n">
        <v>5.3</v>
      </c>
      <c r="D85" t="n">
        <v>2</v>
      </c>
      <c r="E85" t="n">
        <v>7.6</v>
      </c>
      <c r="F85" s="1" t="n">
        <v>46112</v>
      </c>
      <c r="G85">
        <f>+VLOOKUP(A85,'maestro tiendas'!A:C, 3, 0)</f>
        <v/>
      </c>
    </row>
    <row r="86">
      <c r="A86" t="n">
        <v>973</v>
      </c>
      <c r="B86" t="inlineStr">
        <is>
          <t>TIENDA 417</t>
        </is>
      </c>
      <c r="C86" t="n">
        <v>5</v>
      </c>
      <c r="D86" t="n">
        <v>7.6</v>
      </c>
      <c r="E86" t="n">
        <v>9.199999999999999</v>
      </c>
      <c r="F86" s="1" t="n">
        <v>46112</v>
      </c>
      <c r="G86">
        <f>+VLOOKUP(A86,'maestro tiendas'!A:C, 3, 0)</f>
        <v/>
      </c>
    </row>
    <row r="87">
      <c r="A87" t="n">
        <v>835</v>
      </c>
      <c r="B87" t="inlineStr">
        <is>
          <t>TIENDA 176</t>
        </is>
      </c>
      <c r="C87" t="n">
        <v>5.4</v>
      </c>
      <c r="D87" t="n">
        <v>1.5</v>
      </c>
      <c r="E87" t="n">
        <v>7.2</v>
      </c>
      <c r="F87" s="1" t="n">
        <v>46112</v>
      </c>
      <c r="G87">
        <f>+VLOOKUP(A87,'maestro tiendas'!A:C, 3, 0)</f>
        <v/>
      </c>
    </row>
    <row r="88">
      <c r="A88" t="n">
        <v>786</v>
      </c>
      <c r="B88" t="inlineStr">
        <is>
          <t>TIENDA 117</t>
        </is>
      </c>
      <c r="C88" t="n">
        <v>3.6</v>
      </c>
      <c r="D88" t="n">
        <v>9.4</v>
      </c>
      <c r="E88" t="n">
        <v>8</v>
      </c>
      <c r="F88" s="1" t="n">
        <v>46112</v>
      </c>
      <c r="G88">
        <f>+VLOOKUP(A88,'maestro tiendas'!A:C, 3, 0)</f>
        <v/>
      </c>
    </row>
    <row r="89">
      <c r="A89" t="n">
        <v>299</v>
      </c>
      <c r="B89" t="inlineStr">
        <is>
          <t>TIENDA 125</t>
        </is>
      </c>
      <c r="C89" t="n">
        <v>5.2</v>
      </c>
      <c r="D89" t="n">
        <v>4.6</v>
      </c>
      <c r="E89" t="n">
        <v>8.5</v>
      </c>
      <c r="F89" s="1" t="n">
        <v>46112</v>
      </c>
      <c r="G89">
        <f>+VLOOKUP(A89,'maestro tiendas'!A:C, 3, 0)</f>
        <v/>
      </c>
    </row>
    <row r="90">
      <c r="A90" t="n">
        <v>123</v>
      </c>
      <c r="B90" t="inlineStr">
        <is>
          <t>TIENDA 253</t>
        </is>
      </c>
      <c r="C90" t="n">
        <v>6</v>
      </c>
      <c r="D90" t="n">
        <v>8</v>
      </c>
      <c r="E90" t="n">
        <v>2.9</v>
      </c>
      <c r="F90" s="1" t="n">
        <v>46112</v>
      </c>
      <c r="G90">
        <f>+VLOOKUP(A90,'maestro tiendas'!A:C, 3, 0)</f>
        <v/>
      </c>
    </row>
    <row r="91">
      <c r="A91" t="n">
        <v>835</v>
      </c>
      <c r="B91" t="inlineStr">
        <is>
          <t>TIENDA 189</t>
        </is>
      </c>
      <c r="C91" t="n">
        <v>8.199999999999999</v>
      </c>
      <c r="D91" t="n">
        <v>8.699999999999999</v>
      </c>
      <c r="E91" t="n">
        <v>5</v>
      </c>
      <c r="F91" s="1" t="n">
        <v>46112</v>
      </c>
      <c r="G91">
        <f>+VLOOKUP(A91,'maestro tiendas'!A:C, 3, 0)</f>
        <v/>
      </c>
    </row>
    <row r="92">
      <c r="A92" t="n">
        <v>270</v>
      </c>
      <c r="B92" t="inlineStr">
        <is>
          <t>TIENDA 466</t>
        </is>
      </c>
      <c r="C92" t="n">
        <v>3.1</v>
      </c>
      <c r="D92" t="n">
        <v>3.3</v>
      </c>
      <c r="E92" t="n">
        <v>2</v>
      </c>
      <c r="F92" s="1" t="n">
        <v>46112</v>
      </c>
      <c r="G92">
        <f>+VLOOKUP(A92,'maestro tiendas'!A:C, 3, 0)</f>
        <v/>
      </c>
    </row>
    <row r="93">
      <c r="A93" t="n">
        <v>184</v>
      </c>
      <c r="B93" t="inlineStr">
        <is>
          <t>TIENDA 70</t>
        </is>
      </c>
      <c r="C93" t="n">
        <v>8.300000000000001</v>
      </c>
      <c r="D93" t="n">
        <v>9.9</v>
      </c>
      <c r="E93" t="n">
        <v>3.2</v>
      </c>
      <c r="F93" s="1" t="n">
        <v>46112</v>
      </c>
      <c r="G93">
        <f>+VLOOKUP(A93,'maestro tiendas'!A:C, 3, 0)</f>
        <v/>
      </c>
    </row>
    <row r="94">
      <c r="A94" t="n">
        <v>254</v>
      </c>
      <c r="B94" t="inlineStr">
        <is>
          <t>TIENDA 281</t>
        </is>
      </c>
      <c r="C94" t="n">
        <v>9.5</v>
      </c>
      <c r="D94" t="n">
        <v>3.7</v>
      </c>
      <c r="E94" t="n">
        <v>4.3</v>
      </c>
      <c r="F94" s="1" t="n">
        <v>46112</v>
      </c>
      <c r="G94">
        <f>+VLOOKUP(A94,'maestro tiendas'!A:C, 3, 0)</f>
        <v/>
      </c>
    </row>
    <row r="95">
      <c r="A95" t="n">
        <v>184</v>
      </c>
      <c r="B95" t="inlineStr">
        <is>
          <t>TIENDA 386</t>
        </is>
      </c>
      <c r="C95" t="n">
        <v>9.199999999999999</v>
      </c>
      <c r="D95" t="n">
        <v>8.800000000000001</v>
      </c>
      <c r="E95" t="n">
        <v>9.699999999999999</v>
      </c>
      <c r="F95" s="1" t="n">
        <v>46112</v>
      </c>
      <c r="G95">
        <f>+VLOOKUP(A95,'maestro tiendas'!A:C, 3, 0)</f>
        <v/>
      </c>
    </row>
    <row r="96">
      <c r="A96" t="n">
        <v>172</v>
      </c>
      <c r="B96" t="inlineStr">
        <is>
          <t>TIENDA 99</t>
        </is>
      </c>
      <c r="C96" t="n">
        <v>8.800000000000001</v>
      </c>
      <c r="D96" t="n">
        <v>1.2</v>
      </c>
      <c r="E96" t="n">
        <v>3</v>
      </c>
      <c r="F96" s="1" t="n">
        <v>46112</v>
      </c>
      <c r="G96">
        <f>+VLOOKUP(A96,'maestro tiendas'!A:C, 3, 0)</f>
        <v/>
      </c>
    </row>
    <row r="97">
      <c r="A97" t="n">
        <v>584</v>
      </c>
      <c r="B97" t="inlineStr">
        <is>
          <t>TIENDA 350</t>
        </is>
      </c>
      <c r="C97" t="n">
        <v>8.4</v>
      </c>
      <c r="D97" t="n">
        <v>7.2</v>
      </c>
      <c r="E97" t="n">
        <v>2.1</v>
      </c>
      <c r="F97" s="1" t="n">
        <v>46112</v>
      </c>
      <c r="G97">
        <f>+VLOOKUP(A97,'maestro tiendas'!A:C, 3, 0)</f>
        <v/>
      </c>
    </row>
    <row r="98">
      <c r="A98" t="n">
        <v>499</v>
      </c>
      <c r="B98" t="inlineStr">
        <is>
          <t>TIENDA 354</t>
        </is>
      </c>
      <c r="C98" t="n">
        <v>1.7</v>
      </c>
      <c r="D98" t="n">
        <v>7.5</v>
      </c>
      <c r="E98" t="n">
        <v>8.9</v>
      </c>
      <c r="F98" s="1" t="n">
        <v>46112</v>
      </c>
      <c r="G98">
        <f>+VLOOKUP(A98,'maestro tiendas'!A:C, 3, 0)</f>
        <v/>
      </c>
    </row>
    <row r="99">
      <c r="A99" t="n">
        <v>510</v>
      </c>
      <c r="B99" t="inlineStr">
        <is>
          <t>TIENDA 256</t>
        </is>
      </c>
      <c r="C99" t="n">
        <v>3.3</v>
      </c>
      <c r="D99" t="n">
        <v>5.5</v>
      </c>
      <c r="E99" t="n">
        <v>5.4</v>
      </c>
      <c r="F99" s="1" t="n">
        <v>46112</v>
      </c>
      <c r="G99">
        <f>+VLOOKUP(A99,'maestro tiendas'!A:C, 3, 0)</f>
        <v/>
      </c>
    </row>
    <row r="100">
      <c r="A100" t="n">
        <v>229</v>
      </c>
      <c r="B100" t="inlineStr">
        <is>
          <t>TIENDA 107</t>
        </is>
      </c>
      <c r="C100" t="n">
        <v>6.8</v>
      </c>
      <c r="D100" t="n">
        <v>3.2</v>
      </c>
      <c r="E100" t="n">
        <v>2.6</v>
      </c>
      <c r="F100" s="1" t="n">
        <v>46112</v>
      </c>
      <c r="G100">
        <f>+VLOOKUP(A100,'maestro tiendas'!A:C, 3, 0)</f>
        <v/>
      </c>
    </row>
    <row r="101">
      <c r="A101" t="n">
        <v>967</v>
      </c>
      <c r="B101" t="inlineStr">
        <is>
          <t>TIENDA 117</t>
        </is>
      </c>
      <c r="C101" t="n">
        <v>8.9</v>
      </c>
      <c r="D101" t="n">
        <v>7.9</v>
      </c>
      <c r="E101" t="n">
        <v>3.9</v>
      </c>
      <c r="F101" s="1" t="n">
        <v>46112</v>
      </c>
      <c r="G101">
        <f>+VLOOKUP(A101,'maestro tiendas'!A:C, 3, 0)</f>
        <v/>
      </c>
    </row>
    <row r="102">
      <c r="A102" t="n">
        <v>387</v>
      </c>
      <c r="B102" t="inlineStr">
        <is>
          <t>TIENDA 152</t>
        </is>
      </c>
      <c r="C102" t="n">
        <v>4.6</v>
      </c>
      <c r="D102" t="n">
        <v>2</v>
      </c>
      <c r="E102" t="n">
        <v>4.3</v>
      </c>
      <c r="F102" s="1" t="n">
        <v>46112</v>
      </c>
      <c r="G102">
        <f>+VLOOKUP(A102,'maestro tiendas'!A:C, 3, 0)</f>
        <v/>
      </c>
    </row>
    <row r="103">
      <c r="A103" t="n">
        <v>888</v>
      </c>
      <c r="B103" t="inlineStr">
        <is>
          <t>TIENDA 230</t>
        </is>
      </c>
      <c r="C103" t="n">
        <v>8.199999999999999</v>
      </c>
      <c r="D103" t="n">
        <v>1.8</v>
      </c>
      <c r="E103" t="n">
        <v>1.3</v>
      </c>
      <c r="F103" s="1" t="n">
        <v>46112</v>
      </c>
      <c r="G103">
        <f>+VLOOKUP(A103,'maestro tiendas'!A:C, 3, 0)</f>
        <v/>
      </c>
    </row>
    <row r="104">
      <c r="A104" t="n">
        <v>143</v>
      </c>
      <c r="B104" t="inlineStr">
        <is>
          <t>TIENDA 389</t>
        </is>
      </c>
      <c r="C104" t="n">
        <v>9.300000000000001</v>
      </c>
      <c r="D104" t="n">
        <v>5</v>
      </c>
      <c r="E104" t="n">
        <v>2.1</v>
      </c>
      <c r="F104" s="1" t="n">
        <v>46112</v>
      </c>
      <c r="G104">
        <f>+VLOOKUP(A104,'maestro tiendas'!A:C, 3, 0)</f>
        <v/>
      </c>
    </row>
    <row r="105">
      <c r="A105" t="n">
        <v>279</v>
      </c>
      <c r="B105" t="inlineStr">
        <is>
          <t>TIENDA 356</t>
        </is>
      </c>
      <c r="C105" t="n">
        <v>6.2</v>
      </c>
      <c r="D105" t="n">
        <v>9.4</v>
      </c>
      <c r="E105" t="n">
        <v>2.7</v>
      </c>
      <c r="F105" s="1" t="n">
        <v>46112</v>
      </c>
      <c r="G105">
        <f>+VLOOKUP(A105,'maestro tiendas'!A:C, 3, 0)</f>
        <v/>
      </c>
    </row>
    <row r="106">
      <c r="A106" t="n">
        <v>364</v>
      </c>
      <c r="B106" t="inlineStr">
        <is>
          <t>TIENDA 267</t>
        </is>
      </c>
      <c r="C106" t="n">
        <v>6.6</v>
      </c>
      <c r="D106" t="n">
        <v>2.7</v>
      </c>
      <c r="E106" t="n">
        <v>6.5</v>
      </c>
      <c r="F106" s="1" t="n">
        <v>46112</v>
      </c>
      <c r="G106">
        <f>+VLOOKUP(A106,'maestro tiendas'!A:C, 3, 0)</f>
        <v/>
      </c>
    </row>
    <row r="107">
      <c r="A107" t="n">
        <v>264</v>
      </c>
      <c r="B107" t="inlineStr">
        <is>
          <t>TIENDA 369</t>
        </is>
      </c>
      <c r="C107" t="n">
        <v>6.2</v>
      </c>
      <c r="D107" t="n">
        <v>2.4</v>
      </c>
      <c r="E107" t="n">
        <v>9.199999999999999</v>
      </c>
      <c r="F107" s="1" t="n">
        <v>46112</v>
      </c>
      <c r="G107">
        <f>+VLOOKUP(A107,'maestro tiendas'!A:C, 3, 0)</f>
        <v/>
      </c>
    </row>
    <row r="108">
      <c r="F108" s="1" t="n"/>
      <c r="G108">
        <f>+VLOOKUP(A108,'maestro tiendas'!A:C, 3, 0)</f>
        <v/>
      </c>
    </row>
    <row r="109">
      <c r="F109" s="1" t="n"/>
      <c r="G109">
        <f>+VLOOKUP(A109,'maestro tiendas'!A:C, 3, 0)</f>
        <v/>
      </c>
    </row>
    <row r="110">
      <c r="G110">
        <f>+VLOOKUP(A110,'maestro tiendas'!A:C, 3, 0)</f>
        <v/>
      </c>
    </row>
    <row r="111">
      <c r="G111">
        <f>+VLOOKUP(A111,'maestro tiendas'!A:C, 3, 0)</f>
        <v/>
      </c>
    </row>
    <row r="112">
      <c r="G112">
        <f>+VLOOKUP(A112,'maestro tiendas'!A:C, 3, 0)</f>
        <v/>
      </c>
    </row>
    <row r="113">
      <c r="G113">
        <f>+VLOOKUP(A113,'maestro tiendas'!A:C, 3, 0)</f>
        <v/>
      </c>
    </row>
    <row r="114">
      <c r="G114">
        <f>+VLOOKUP(A114,'maestro tiendas'!A:C, 3, 0)</f>
        <v/>
      </c>
    </row>
    <row r="115">
      <c r="G115">
        <f>+VLOOKUP(A115,'maestro tiendas'!A:C, 3, 0)</f>
        <v/>
      </c>
    </row>
    <row r="116">
      <c r="G116">
        <f>+VLOOKUP(A116,'maestro tiendas'!A:C, 3, 0)</f>
        <v/>
      </c>
    </row>
    <row r="117">
      <c r="G117">
        <f>+VLOOKUP(A117,'maestro tiendas'!A:C, 3, 0)</f>
        <v/>
      </c>
    </row>
    <row r="118">
      <c r="G118">
        <f>+VLOOKUP(A118,'maestro tiendas'!A:C, 3, 0)</f>
        <v/>
      </c>
    </row>
    <row r="119">
      <c r="G119">
        <f>+VLOOKUP(A119,'maestro tiendas'!A:C, 3, 0)</f>
        <v/>
      </c>
    </row>
    <row r="120">
      <c r="G120">
        <f>+VLOOKUP(A120,'maestro tiendas'!A:C, 3, 0)</f>
        <v/>
      </c>
    </row>
    <row r="121">
      <c r="G121">
        <f>+VLOOKUP(A121,'maestro tiendas'!A:C, 3, 0)</f>
        <v/>
      </c>
    </row>
    <row r="122">
      <c r="G122">
        <f>+VLOOKUP(A122,'maestro tiendas'!A:C, 3, 0)</f>
        <v/>
      </c>
    </row>
    <row r="123">
      <c r="G123">
        <f>+VLOOKUP(A123,'maestro tiendas'!A:C, 3, 0)</f>
        <v/>
      </c>
    </row>
    <row r="124">
      <c r="G124">
        <f>+VLOOKUP(A124,'maestro tiendas'!A:C, 3, 0)</f>
        <v/>
      </c>
    </row>
    <row r="125">
      <c r="G125">
        <f>+VLOOKUP(A125,'maestro tiendas'!A:C, 3, 0)</f>
        <v/>
      </c>
    </row>
    <row r="126">
      <c r="G126">
        <f>+VLOOKUP(A126,'maestro tiendas'!A:C, 3, 0)</f>
        <v/>
      </c>
    </row>
    <row r="127">
      <c r="G127">
        <f>+VLOOKUP(A127,'maestro tiendas'!A:C, 3, 0)</f>
        <v/>
      </c>
    </row>
    <row r="128">
      <c r="G128">
        <f>+VLOOKUP(A128,'maestro tiendas'!A:C, 3, 0)</f>
        <v/>
      </c>
    </row>
    <row r="129">
      <c r="G129">
        <f>+VLOOKUP(A129,'maestro tiendas'!A:C, 3, 0)</f>
        <v/>
      </c>
    </row>
    <row r="130">
      <c r="G130">
        <f>+VLOOKUP(A130,'maestro tiendas'!A:C, 3, 0)</f>
        <v/>
      </c>
    </row>
    <row r="131">
      <c r="G131">
        <f>+VLOOKUP(A131,'maestro tiendas'!A:C, 3, 0)</f>
        <v/>
      </c>
    </row>
    <row r="132">
      <c r="G132">
        <f>+VLOOKUP(A132,'maestro tiendas'!A:C, 3, 0)</f>
        <v/>
      </c>
    </row>
    <row r="133">
      <c r="G133">
        <f>+VLOOKUP(A133,'maestro tiendas'!A:C, 3, 0)</f>
        <v/>
      </c>
    </row>
    <row r="134">
      <c r="G134">
        <f>+VLOOKUP(A134,'maestro tiendas'!A:C, 3, 0)</f>
        <v/>
      </c>
    </row>
    <row r="135">
      <c r="G135">
        <f>+VLOOKUP(A135,'maestro tiendas'!A:C, 3, 0)</f>
        <v/>
      </c>
    </row>
    <row r="136">
      <c r="G136">
        <f>+VLOOKUP(A136,'maestro tiendas'!A:C, 3, 0)</f>
        <v/>
      </c>
    </row>
    <row r="137">
      <c r="G137">
        <f>+VLOOKUP(A137,'maestro tiendas'!A:C, 3, 0)</f>
        <v/>
      </c>
    </row>
    <row r="138">
      <c r="G138">
        <f>+VLOOKUP(A138,'maestro tiendas'!A:C, 3, 0)</f>
        <v/>
      </c>
    </row>
    <row r="139">
      <c r="G139">
        <f>+VLOOKUP(A139,'maestro tiendas'!A:C, 3, 0)</f>
        <v/>
      </c>
    </row>
    <row r="140">
      <c r="G140">
        <f>+VLOOKUP(A140,'maestro tiendas'!A:C, 3, 0)</f>
        <v/>
      </c>
    </row>
    <row r="141">
      <c r="G141">
        <f>+VLOOKUP(A141,'maestro tiendas'!A:C, 3, 0)</f>
        <v/>
      </c>
    </row>
    <row r="142">
      <c r="G142">
        <f>+VLOOKUP(A142,'maestro tiendas'!A:C, 3, 0)</f>
        <v/>
      </c>
    </row>
    <row r="143">
      <c r="G143">
        <f>+VLOOKUP(A143,'maestro tiendas'!A:C, 3, 0)</f>
        <v/>
      </c>
    </row>
    <row r="144">
      <c r="G144">
        <f>+VLOOKUP(A144,'maestro tiendas'!A:C, 3, 0)</f>
        <v/>
      </c>
    </row>
    <row r="145">
      <c r="G145">
        <f>+VLOOKUP(A145,'maestro tiendas'!A:C, 3, 0)</f>
        <v/>
      </c>
    </row>
    <row r="146">
      <c r="G146">
        <f>+VLOOKUP(A146,'maestro tiendas'!A:C, 3, 0)</f>
        <v/>
      </c>
    </row>
    <row r="147">
      <c r="G147">
        <f>+VLOOKUP(A147,'maestro tiendas'!A:C, 3, 0)</f>
        <v/>
      </c>
    </row>
    <row r="148">
      <c r="G148">
        <f>+VLOOKUP(A148,'maestro tiendas'!A:C, 3, 0)</f>
        <v/>
      </c>
    </row>
    <row r="149">
      <c r="G149">
        <f>+VLOOKUP(A149,'maestro tiendas'!A:C, 3, 0)</f>
        <v/>
      </c>
    </row>
    <row r="150">
      <c r="G150">
        <f>+VLOOKUP(A150,'maestro tiendas'!A:C, 3, 0)</f>
        <v/>
      </c>
    </row>
    <row r="151">
      <c r="G151">
        <f>+VLOOKUP(A151,'maestro tiendas'!A:C, 3, 0)</f>
        <v/>
      </c>
    </row>
    <row r="152">
      <c r="G152">
        <f>+VLOOKUP(A152,'maestro tiendas'!A:C, 3, 0)</f>
        <v/>
      </c>
    </row>
    <row r="153">
      <c r="G153">
        <f>+VLOOKUP(A153,'maestro tiendas'!A:C, 3, 0)</f>
        <v/>
      </c>
    </row>
    <row r="154">
      <c r="G154">
        <f>+VLOOKUP(A154,'maestro tiendas'!A:C, 3, 0)</f>
        <v/>
      </c>
    </row>
    <row r="155">
      <c r="G155">
        <f>+VLOOKUP(A155,'maestro tiendas'!A:C, 3, 0)</f>
        <v/>
      </c>
    </row>
    <row r="156">
      <c r="G156">
        <f>+VLOOKUP(A156,'maestro tiendas'!A:C, 3, 0)</f>
        <v/>
      </c>
    </row>
    <row r="157">
      <c r="G157">
        <f>+VLOOKUP(A157,'maestro tiendas'!A:C, 3, 0)</f>
        <v/>
      </c>
    </row>
    <row r="158">
      <c r="G158">
        <f>+VLOOKUP(A158,'maestro tiendas'!A:C, 3, 0)</f>
        <v/>
      </c>
    </row>
    <row r="159">
      <c r="G159">
        <f>+VLOOKUP(A159,'maestro tiendas'!A:C, 3, 0)</f>
        <v/>
      </c>
    </row>
    <row r="160">
      <c r="G160">
        <f>+VLOOKUP(A160,'maestro tiendas'!A:C, 3, 0)</f>
        <v/>
      </c>
    </row>
    <row r="161">
      <c r="G161">
        <f>+VLOOKUP(A161,'maestro tiendas'!A:C, 3, 0)</f>
        <v/>
      </c>
    </row>
    <row r="162">
      <c r="G162">
        <f>+VLOOKUP(A162,'maestro tiendas'!A:C, 3, 0)</f>
        <v/>
      </c>
    </row>
    <row r="163">
      <c r="G163">
        <f>+VLOOKUP(A163,'maestro tiendas'!A:C, 3, 0)</f>
        <v/>
      </c>
    </row>
    <row r="164">
      <c r="G164">
        <f>+VLOOKUP(A164,'maestro tiendas'!A:C, 3, 0)</f>
        <v/>
      </c>
    </row>
    <row r="165">
      <c r="G165">
        <f>+VLOOKUP(A165,'maestro tiendas'!A:C, 3, 0)</f>
        <v/>
      </c>
    </row>
    <row r="166">
      <c r="G166">
        <f>+VLOOKUP(A166,'maestro tiendas'!A:C, 3, 0)</f>
        <v/>
      </c>
    </row>
    <row r="167">
      <c r="G167">
        <f>+VLOOKUP(A167,'maestro tiendas'!A:C, 3, 0)</f>
        <v/>
      </c>
    </row>
    <row r="168">
      <c r="G168">
        <f>+VLOOKUP(A168,'maestro tiendas'!A:C, 3, 0)</f>
        <v/>
      </c>
    </row>
    <row r="169">
      <c r="G169">
        <f>+VLOOKUP(A169,'maestro tiendas'!A:C, 3, 0)</f>
        <v/>
      </c>
    </row>
    <row r="170">
      <c r="G170">
        <f>+VLOOKUP(A170,'maestro tiendas'!A:C, 3, 0)</f>
        <v/>
      </c>
    </row>
    <row r="171">
      <c r="G171">
        <f>+VLOOKUP(A171,'maestro tiendas'!A:C, 3, 0)</f>
        <v/>
      </c>
    </row>
    <row r="172">
      <c r="G172">
        <f>+VLOOKUP(A172,'maestro tiendas'!A:C, 3, 0)</f>
        <v/>
      </c>
    </row>
    <row r="173">
      <c r="G173">
        <f>+VLOOKUP(A173,'maestro tiendas'!A:C, 3, 0)</f>
        <v/>
      </c>
    </row>
    <row r="174">
      <c r="G174">
        <f>+VLOOKUP(A174,'maestro tiendas'!A:C, 3, 0)</f>
        <v/>
      </c>
    </row>
    <row r="175">
      <c r="G175">
        <f>+VLOOKUP(A175,'maestro tiendas'!A:C, 3, 0)</f>
        <v/>
      </c>
    </row>
    <row r="176">
      <c r="G176">
        <f>+VLOOKUP(A176,'maestro tiendas'!A:C, 3, 0)</f>
        <v/>
      </c>
    </row>
    <row r="177">
      <c r="G177">
        <f>+VLOOKUP(A177,'maestro tiendas'!A:C, 3, 0)</f>
        <v/>
      </c>
    </row>
    <row r="178">
      <c r="G178">
        <f>+VLOOKUP(A178,'maestro tiendas'!A:C, 3, 0)</f>
        <v/>
      </c>
    </row>
    <row r="179">
      <c r="G179">
        <f>+VLOOKUP(A179,'maestro tiendas'!A:C, 3, 0)</f>
        <v/>
      </c>
    </row>
    <row r="180">
      <c r="G180">
        <f>+VLOOKUP(A180,'maestro tiendas'!A:C, 3, 0)</f>
        <v/>
      </c>
    </row>
    <row r="181">
      <c r="G181">
        <f>+VLOOKUP(A181,'maestro tiendas'!A:C, 3, 0)</f>
        <v/>
      </c>
    </row>
    <row r="182">
      <c r="G182">
        <f>+VLOOKUP(A182,'maestro tiendas'!A:C, 3, 0)</f>
        <v/>
      </c>
    </row>
    <row r="183">
      <c r="G183">
        <f>+VLOOKUP(A183,'maestro tiendas'!A:C, 3, 0)</f>
        <v/>
      </c>
    </row>
    <row r="184">
      <c r="G184">
        <f>+VLOOKUP(A184,'maestro tiendas'!A:C, 3, 0)</f>
        <v/>
      </c>
    </row>
    <row r="185">
      <c r="G185">
        <f>+VLOOKUP(A185,'maestro tiendas'!A:C, 3, 0)</f>
        <v/>
      </c>
    </row>
    <row r="186">
      <c r="G186">
        <f>+VLOOKUP(A186,'maestro tiendas'!A:C, 3, 0)</f>
        <v/>
      </c>
    </row>
    <row r="187">
      <c r="G187">
        <f>+VLOOKUP(A187,'maestro tiendas'!A:C, 3, 0)</f>
        <v/>
      </c>
    </row>
    <row r="188">
      <c r="G188">
        <f>+VLOOKUP(A188,'maestro tiendas'!A:C, 3, 0)</f>
        <v/>
      </c>
    </row>
    <row r="189">
      <c r="G189">
        <f>+VLOOKUP(A189,'maestro tiendas'!A:C, 3, 0)</f>
        <v/>
      </c>
    </row>
    <row r="190">
      <c r="G190">
        <f>+VLOOKUP(A190,'maestro tiendas'!A:C, 3, 0)</f>
        <v/>
      </c>
    </row>
    <row r="191">
      <c r="G191">
        <f>+VLOOKUP(A191,'maestro tiendas'!A:C, 3, 0)</f>
        <v/>
      </c>
    </row>
    <row r="192">
      <c r="G192">
        <f>+VLOOKUP(A192,'maestro tiendas'!A:C, 3, 0)</f>
        <v/>
      </c>
    </row>
    <row r="193">
      <c r="G193">
        <f>+VLOOKUP(A193,'maestro tiendas'!A:C, 3, 0)</f>
        <v/>
      </c>
    </row>
    <row r="194">
      <c r="G194">
        <f>+VLOOKUP(A194,'maestro tiendas'!A:C, 3, 0)</f>
        <v/>
      </c>
    </row>
    <row r="195">
      <c r="G195">
        <f>+VLOOKUP(A195,'maestro tiendas'!A:C, 3, 0)</f>
        <v/>
      </c>
    </row>
    <row r="196">
      <c r="G196">
        <f>+VLOOKUP(A196,'maestro tiendas'!A:C, 3, 0)</f>
        <v/>
      </c>
    </row>
    <row r="197">
      <c r="G197">
        <f>+VLOOKUP(A197,'maestro tiendas'!A:C, 3, 0)</f>
        <v/>
      </c>
    </row>
    <row r="198">
      <c r="G198">
        <f>+VLOOKUP(A198,'maestro tiendas'!A:C, 3, 0)</f>
        <v/>
      </c>
    </row>
    <row r="199">
      <c r="G199">
        <f>+VLOOKUP(A199,'maestro tiendas'!A:C, 3, 0)</f>
        <v/>
      </c>
    </row>
    <row r="200">
      <c r="G200">
        <f>+VLOOKUP(A200,'maestro tiendas'!A:C, 3, 0)</f>
        <v/>
      </c>
    </row>
    <row r="201">
      <c r="G201">
        <f>+VLOOKUP(A201,'maestro tiendas'!A:C, 3, 0)</f>
        <v/>
      </c>
    </row>
    <row r="202">
      <c r="G202">
        <f>+VLOOKUP(A202,'maestro tiendas'!A:C, 3, 0)</f>
        <v/>
      </c>
    </row>
    <row r="203">
      <c r="G203">
        <f>+VLOOKUP(A203,'maestro tiendas'!A:C, 3, 0)</f>
        <v/>
      </c>
    </row>
    <row r="204">
      <c r="G204">
        <f>+VLOOKUP(A204,'maestro tiendas'!A:C, 3, 0)</f>
        <v/>
      </c>
    </row>
    <row r="205">
      <c r="G205">
        <f>+VLOOKUP(A205,'maestro tiendas'!A:C, 3, 0)</f>
        <v/>
      </c>
    </row>
    <row r="206">
      <c r="G206">
        <f>+VLOOKUP(A206,'maestro tiendas'!A:C, 3, 0)</f>
        <v/>
      </c>
    </row>
    <row r="207">
      <c r="G207">
        <f>+VLOOKUP(A207,'maestro tiendas'!A:C, 3, 0)</f>
        <v/>
      </c>
    </row>
    <row r="208">
      <c r="G208">
        <f>+VLOOKUP(A208,'maestro tiendas'!A:C, 3, 0)</f>
        <v/>
      </c>
    </row>
    <row r="209">
      <c r="G209">
        <f>+VLOOKUP(A209,'maestro tiendas'!A:C, 3, 0)</f>
        <v/>
      </c>
    </row>
    <row r="210">
      <c r="G210">
        <f>+VLOOKUP(A210,'maestro tiendas'!A:C, 3, 0)</f>
        <v/>
      </c>
    </row>
    <row r="211">
      <c r="G211">
        <f>+VLOOKUP(A211,'maestro tiendas'!A:C, 3, 0)</f>
        <v/>
      </c>
    </row>
    <row r="212">
      <c r="G212">
        <f>+VLOOKUP(A212,'maestro tiendas'!A:C, 3, 0)</f>
        <v/>
      </c>
    </row>
    <row r="213">
      <c r="G213">
        <f>+VLOOKUP(A213,'maestro tiendas'!A:C, 3, 0)</f>
        <v/>
      </c>
    </row>
    <row r="214">
      <c r="G214">
        <f>+VLOOKUP(A214,'maestro tiendas'!A:C, 3, 0)</f>
        <v/>
      </c>
    </row>
    <row r="215">
      <c r="G215">
        <f>+VLOOKUP(A215,'maestro tiendas'!A:C, 3, 0)</f>
        <v/>
      </c>
    </row>
    <row r="216">
      <c r="G216">
        <f>+VLOOKUP(A216,'maestro tiendas'!A:C, 3, 0)</f>
        <v/>
      </c>
    </row>
    <row r="217">
      <c r="G217">
        <f>+VLOOKUP(A217,'maestro tiendas'!A:C, 3, 0)</f>
        <v/>
      </c>
    </row>
    <row r="218">
      <c r="G218">
        <f>+VLOOKUP(A218,'maestro tiendas'!A:C, 3, 0)</f>
        <v/>
      </c>
    </row>
    <row r="219">
      <c r="G219">
        <f>+VLOOKUP(A219,'maestro tiendas'!A:C, 3, 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zoomScale="115" zoomScaleNormal="115" workbookViewId="0">
      <selection activeCell="G2" sqref="G2"/>
    </sheetView>
  </sheetViews>
  <sheetFormatPr baseColWidth="10" defaultColWidth="10.81640625" defaultRowHeight="14.5"/>
  <cols>
    <col width="10.1796875" customWidth="1" style="2" min="1" max="1"/>
    <col width="26.453125" customWidth="1" style="2" min="2" max="2"/>
    <col width="14.453125" customWidth="1" style="2" min="3" max="3"/>
    <col width="11.81640625" customWidth="1" style="4" min="4" max="4"/>
    <col width="10.81640625" customWidth="1" style="2" min="5" max="5"/>
    <col width="23.453125" bestFit="1" customWidth="1" style="2" min="6" max="6"/>
    <col width="10.81640625" customWidth="1" style="2" min="7" max="16384"/>
  </cols>
  <sheetData>
    <row r="1">
      <c r="A1" s="2" t="inlineStr">
        <is>
          <t>Tienda</t>
        </is>
      </c>
      <c r="B1" s="2" t="inlineStr">
        <is>
          <t>NOMBRE</t>
        </is>
      </c>
      <c r="C1" s="2" t="inlineStr">
        <is>
          <t>ZONA</t>
        </is>
      </c>
      <c r="D1" s="3" t="inlineStr">
        <is>
          <t>CHECK</t>
        </is>
      </c>
    </row>
    <row r="2" ht="26" customHeight="1">
      <c r="A2" s="2" t="n">
        <v>3</v>
      </c>
      <c r="B2" s="2" t="inlineStr">
        <is>
          <t>PEDREGUER-SUPER 2</t>
        </is>
      </c>
      <c r="C2" s="2" t="inlineStr">
        <is>
          <t>ALICANTE</t>
        </is>
      </c>
      <c r="D2" s="4">
        <f>+IF(Tabla1[[#This Row],[Tienda]]&lt;&gt;"", IFERROR( VLOOKUP(Tabla1[[#This Row],[Tienda]],  Hoja1!A:A,   1,   0), "FALTA TIENDA"), "")</f>
        <v/>
      </c>
      <c r="F2" s="5" t="inlineStr">
        <is>
          <t>FALTA TIENDA</t>
        </is>
      </c>
      <c r="G2" s="5">
        <f>+COUNTIF( D:D,F2)</f>
        <v/>
      </c>
    </row>
    <row r="3">
      <c r="A3" s="2" t="n">
        <v>4</v>
      </c>
      <c r="B3" s="2" t="inlineStr">
        <is>
          <t>BENISSA</t>
        </is>
      </c>
      <c r="C3" s="2" t="inlineStr">
        <is>
          <t>ALICANTE</t>
        </is>
      </c>
      <c r="D3" s="4">
        <f>+IF(Tabla1[[#This Row],[Tienda]]&lt;&gt;"", IFERROR( VLOOKUP(Tabla1[[#This Row],[Tienda]],  Hoja1!A:A,   1,   0), "FALTA TIENDA"), "")</f>
        <v/>
      </c>
    </row>
    <row r="4">
      <c r="A4" s="2" t="n">
        <v>5</v>
      </c>
      <c r="B4" s="2" t="inlineStr">
        <is>
          <t xml:space="preserve">OLIVA   </t>
        </is>
      </c>
      <c r="C4" s="2" t="inlineStr">
        <is>
          <t>ALICANTE</t>
        </is>
      </c>
      <c r="D4" s="4">
        <f>+IF(Tabla1[[#This Row],[Tienda]]&lt;&gt;"", IFERROR( VLOOKUP(Tabla1[[#This Row],[Tienda]],  Hoja1!A:A,   1,   0), "FALTA TIENDA"), "")</f>
        <v/>
      </c>
    </row>
    <row r="5">
      <c r="A5" s="2" t="n">
        <v>6</v>
      </c>
      <c r="B5" s="2" t="inlineStr">
        <is>
          <t>CARRETERA</t>
        </is>
      </c>
      <c r="C5" s="2" t="inlineStr">
        <is>
          <t>ALICANTE</t>
        </is>
      </c>
      <c r="D5" s="4">
        <f>+IF(Tabla1[[#This Row],[Tienda]]&lt;&gt;"", IFERROR( VLOOKUP(Tabla1[[#This Row],[Tienda]],  Hoja1!A:A,   1,   0), "FALTA TIENDA"), "")</f>
        <v/>
      </c>
    </row>
    <row r="6">
      <c r="A6" s="2" t="n">
        <v>7</v>
      </c>
      <c r="B6" s="2" t="inlineStr">
        <is>
          <t>XABIA-BORRULL</t>
        </is>
      </c>
      <c r="C6" s="2" t="inlineStr">
        <is>
          <t>ALICANTE</t>
        </is>
      </c>
      <c r="D6" s="4">
        <f>+IF(Tabla1[[#This Row],[Tienda]]&lt;&gt;"", IFERROR( VLOOKUP(Tabla1[[#This Row],[Tienda]],  Hoja1!A:A,   1,   0), "FALTA TIENDA"), "")</f>
        <v/>
      </c>
    </row>
    <row r="7">
      <c r="A7" s="2" t="n">
        <v>8</v>
      </c>
      <c r="B7" s="2" t="inlineStr">
        <is>
          <t>ADUANES PORT</t>
        </is>
      </c>
      <c r="C7" s="2" t="inlineStr">
        <is>
          <t>ALICANTE</t>
        </is>
      </c>
      <c r="D7" s="4">
        <f>+IF(Tabla1[[#This Row],[Tienda]]&lt;&gt;"", IFERROR( VLOOKUP(Tabla1[[#This Row],[Tienda]],  Hoja1!A:A,   1,   0), "FALTA TIENDA"), "")</f>
        <v/>
      </c>
    </row>
    <row r="8">
      <c r="A8" s="2" t="n">
        <v>11</v>
      </c>
      <c r="B8" s="2" t="inlineStr">
        <is>
          <t>MISLATA</t>
        </is>
      </c>
      <c r="C8" s="2" t="inlineStr">
        <is>
          <t>VALENCIA</t>
        </is>
      </c>
      <c r="D8" s="4">
        <f>+IF(Tabla1[[#This Row],[Tienda]]&lt;&gt;"", IFERROR( VLOOKUP(Tabla1[[#This Row],[Tienda]],  Hoja1!A:A,   1,   0), "FALTA TIENDA"), "")</f>
        <v/>
      </c>
    </row>
    <row r="9">
      <c r="A9" s="2" t="n">
        <v>14</v>
      </c>
      <c r="B9" s="2" t="inlineStr">
        <is>
          <t>GATA</t>
        </is>
      </c>
      <c r="C9" s="2" t="inlineStr">
        <is>
          <t>ALICANTE</t>
        </is>
      </c>
      <c r="D9" s="4">
        <f>+IF(Tabla1[[#This Row],[Tienda]]&lt;&gt;"", IFERROR( VLOOKUP(Tabla1[[#This Row],[Tienda]],  Hoja1!A:A,   1,   0), "FALTA TIENDA"), "")</f>
        <v/>
      </c>
    </row>
    <row r="10">
      <c r="A10" s="2" t="n">
        <v>16</v>
      </c>
      <c r="B10" s="2" t="inlineStr">
        <is>
          <t>LA XARA</t>
        </is>
      </c>
      <c r="C10" s="2" t="inlineStr">
        <is>
          <t>ALICANTE</t>
        </is>
      </c>
      <c r="D10" s="4">
        <f>+IF(Tabla1[[#This Row],[Tienda]]&lt;&gt;"", IFERROR( VLOOKUP(Tabla1[[#This Row],[Tienda]],  Hoja1!A:A,   1,   0), "FALTA TIENDA"), "")</f>
        <v/>
      </c>
    </row>
    <row r="11">
      <c r="A11" s="2" t="n">
        <v>17</v>
      </c>
      <c r="B11" s="2" t="inlineStr">
        <is>
          <t>ONTINYENT</t>
        </is>
      </c>
      <c r="C11" s="2" t="inlineStr">
        <is>
          <t>VALENCIA</t>
        </is>
      </c>
      <c r="D11" s="4">
        <f>+IF(Tabla1[[#This Row],[Tienda]]&lt;&gt;"", IFERROR( VLOOKUP(Tabla1[[#This Row],[Tienda]],  Hoja1!A:A,   1,   0), "FALTA TIENDA"), "")</f>
        <v/>
      </c>
    </row>
    <row r="12">
      <c r="A12" s="2" t="n">
        <v>20</v>
      </c>
      <c r="B12" s="2" t="inlineStr">
        <is>
          <t>ONDARA</t>
        </is>
      </c>
      <c r="C12" s="2" t="inlineStr">
        <is>
          <t>ALICANTE</t>
        </is>
      </c>
      <c r="D12" s="4">
        <f>+IF(Tabla1[[#This Row],[Tienda]]&lt;&gt;"", IFERROR( VLOOKUP(Tabla1[[#This Row],[Tienda]],  Hoja1!A:A,   1,   0), "FALTA TIENDA"), "")</f>
        <v/>
      </c>
    </row>
    <row r="13">
      <c r="A13" s="2" t="n">
        <v>22</v>
      </c>
      <c r="B13" s="2" t="inlineStr">
        <is>
          <t xml:space="preserve">CALPE </t>
        </is>
      </c>
      <c r="C13" s="2" t="inlineStr">
        <is>
          <t>ALICANTE</t>
        </is>
      </c>
      <c r="D13" s="4">
        <f>+IF(Tabla1[[#This Row],[Tienda]]&lt;&gt;"", IFERROR( VLOOKUP(Tabla1[[#This Row],[Tienda]],  Hoja1!A:A,   1,   0), "FALTA TIENDA"), "")</f>
        <v/>
      </c>
    </row>
    <row r="14">
      <c r="A14" s="2" t="n">
        <v>24</v>
      </c>
      <c r="B14" s="2" t="inlineStr">
        <is>
          <t>ALTEA-PUEBLO</t>
        </is>
      </c>
      <c r="C14" s="2" t="inlineStr">
        <is>
          <t>ALICANTE</t>
        </is>
      </c>
      <c r="D14" s="4">
        <f>+IF(Tabla1[[#This Row],[Tienda]]&lt;&gt;"", IFERROR( VLOOKUP(Tabla1[[#This Row],[Tienda]],  Hoja1!A:A,   1,   0), "FALTA TIENDA"), "")</f>
        <v/>
      </c>
    </row>
    <row r="15">
      <c r="A15" s="2" t="n">
        <v>30</v>
      </c>
      <c r="B15" s="2" t="inlineStr">
        <is>
          <t>ALTEA-PLAYA</t>
        </is>
      </c>
      <c r="C15" s="2" t="inlineStr">
        <is>
          <t>ALICANTE</t>
        </is>
      </c>
      <c r="D15" s="4">
        <f>+IF(Tabla1[[#This Row],[Tienda]]&lt;&gt;"", IFERROR( VLOOKUP(Tabla1[[#This Row],[Tienda]],  Hoja1!A:A,   1,   0), "FALTA TIENDA"), "")</f>
        <v/>
      </c>
    </row>
    <row r="16">
      <c r="A16" s="2" t="n">
        <v>31</v>
      </c>
      <c r="B16" s="2" t="inlineStr">
        <is>
          <t xml:space="preserve">ALGEMESI </t>
        </is>
      </c>
      <c r="C16" s="2" t="inlineStr">
        <is>
          <t>VALENCIA</t>
        </is>
      </c>
      <c r="D16" s="4">
        <f>+IF(Tabla1[[#This Row],[Tienda]]&lt;&gt;"", IFERROR( VLOOKUP(Tabla1[[#This Row],[Tienda]],  Hoja1!A:A,   1,   0), "FALTA TIENDA"), "")</f>
        <v/>
      </c>
    </row>
    <row r="17">
      <c r="A17" s="2" t="n">
        <v>32</v>
      </c>
      <c r="B17" s="2" t="inlineStr">
        <is>
          <t xml:space="preserve">ALCUDIA </t>
        </is>
      </c>
      <c r="C17" s="2" t="inlineStr">
        <is>
          <t>VALENCIA</t>
        </is>
      </c>
      <c r="D17" s="4">
        <f>+IF(Tabla1[[#This Row],[Tienda]]&lt;&gt;"", IFERROR( VLOOKUP(Tabla1[[#This Row],[Tienda]],  Hoja1!A:A,   1,   0), "FALTA TIENDA"), "")</f>
        <v/>
      </c>
    </row>
    <row r="18">
      <c r="A18" s="2" t="n">
        <v>34</v>
      </c>
      <c r="B18" s="2" t="inlineStr">
        <is>
          <t xml:space="preserve">SUECA </t>
        </is>
      </c>
      <c r="C18" s="2" t="inlineStr">
        <is>
          <t>VALENCIA</t>
        </is>
      </c>
      <c r="D18" s="4">
        <f>+IF(Tabla1[[#This Row],[Tienda]]&lt;&gt;"", IFERROR( VLOOKUP(Tabla1[[#This Row],[Tienda]],  Hoja1!A:A,   1,   0), "FALTA TIENDA"), "")</f>
        <v/>
      </c>
    </row>
    <row r="19">
      <c r="A19" s="2" t="n">
        <v>35</v>
      </c>
      <c r="B19" s="2" t="inlineStr">
        <is>
          <t xml:space="preserve">ALGINET </t>
        </is>
      </c>
      <c r="C19" s="2" t="inlineStr">
        <is>
          <t>VALENCIA</t>
        </is>
      </c>
      <c r="D19" s="4">
        <f>+IF(Tabla1[[#This Row],[Tienda]]&lt;&gt;"", IFERROR( VLOOKUP(Tabla1[[#This Row],[Tienda]],  Hoja1!A:A,   1,   0), "FALTA TIENDA"), "")</f>
        <v/>
      </c>
    </row>
    <row r="20">
      <c r="A20" s="2" t="n">
        <v>36</v>
      </c>
      <c r="B20" s="2" t="inlineStr">
        <is>
          <t>DENIA 1</t>
        </is>
      </c>
      <c r="C20" s="2" t="inlineStr">
        <is>
          <t>ALICANTE</t>
        </is>
      </c>
      <c r="D20" s="4">
        <f>+IF(Tabla1[[#This Row],[Tienda]]&lt;&gt;"", IFERROR( VLOOKUP(Tabla1[[#This Row],[Tienda]],  Hoja1!A:A,   1,   0), "FALTA TIENDA"), "")</f>
        <v/>
      </c>
    </row>
    <row r="21">
      <c r="A21" s="2" t="n">
        <v>40</v>
      </c>
      <c r="B21" s="2" t="inlineStr">
        <is>
          <t>MORAIRA II</t>
        </is>
      </c>
      <c r="C21" s="2" t="inlineStr">
        <is>
          <t>ALICANTE</t>
        </is>
      </c>
      <c r="D21" s="4">
        <f>+IF(Tabla1[[#This Row],[Tienda]]&lt;&gt;"", IFERROR( VLOOKUP(Tabla1[[#This Row],[Tienda]],  Hoja1!A:A,   1,   0), "FALTA TIENDA"), "")</f>
        <v/>
      </c>
    </row>
    <row r="22">
      <c r="A22" s="2" t="n">
        <v>41</v>
      </c>
      <c r="B22" s="2" t="inlineStr">
        <is>
          <t>MASCARAT</t>
        </is>
      </c>
      <c r="C22" s="2" t="inlineStr">
        <is>
          <t>ALICANTE</t>
        </is>
      </c>
      <c r="D22" s="4">
        <f>+IF(Tabla1[[#This Row],[Tienda]]&lt;&gt;"", IFERROR( VLOOKUP(Tabla1[[#This Row],[Tienda]],  Hoja1!A:A,   1,   0), "FALTA TIENDA"), "")</f>
        <v/>
      </c>
    </row>
    <row r="23">
      <c r="A23" s="2" t="n">
        <v>42</v>
      </c>
      <c r="B23" s="2" t="inlineStr">
        <is>
          <t>CALLOSA D'ENSARRIA</t>
        </is>
      </c>
      <c r="C23" s="2" t="inlineStr">
        <is>
          <t>ALICANTE</t>
        </is>
      </c>
      <c r="D23" s="4">
        <f>+IF(Tabla1[[#This Row],[Tienda]]&lt;&gt;"", IFERROR( VLOOKUP(Tabla1[[#This Row],[Tienda]],  Hoja1!A:A,   1,   0), "FALTA TIENDA"), "")</f>
        <v/>
      </c>
    </row>
    <row r="24">
      <c r="A24" s="2" t="n">
        <v>43</v>
      </c>
      <c r="B24" s="2" t="inlineStr">
        <is>
          <t>BENIDROM-TOMAS ORTUÑO</t>
        </is>
      </c>
      <c r="C24" s="2" t="inlineStr">
        <is>
          <t>ALICANTE</t>
        </is>
      </c>
      <c r="D24" s="4">
        <f>+IF(Tabla1[[#This Row],[Tienda]]&lt;&gt;"", IFERROR( VLOOKUP(Tabla1[[#This Row],[Tienda]],  Hoja1!A:A,   1,   0), "FALTA TIENDA"), "")</f>
        <v/>
      </c>
    </row>
    <row r="25">
      <c r="A25" s="2" t="n">
        <v>44</v>
      </c>
      <c r="B25" s="2" t="inlineStr">
        <is>
          <t>ALCASSER</t>
        </is>
      </c>
      <c r="C25" s="2" t="inlineStr">
        <is>
          <t>VALENCIA</t>
        </is>
      </c>
      <c r="D25" s="4">
        <f>+IF(Tabla1[[#This Row],[Tienda]]&lt;&gt;"", IFERROR( VLOOKUP(Tabla1[[#This Row],[Tienda]],  Hoja1!A:A,   1,   0), "FALTA TIENDA"), "")</f>
        <v/>
      </c>
    </row>
    <row r="26">
      <c r="A26" s="2" t="n">
        <v>46</v>
      </c>
      <c r="B26" s="2" t="inlineStr">
        <is>
          <t xml:space="preserve">BENITATXELL </t>
        </is>
      </c>
      <c r="C26" s="2" t="inlineStr">
        <is>
          <t>ALICANTE</t>
        </is>
      </c>
      <c r="D26" s="4">
        <f>+IF(Tabla1[[#This Row],[Tienda]]&lt;&gt;"", IFERROR( VLOOKUP(Tabla1[[#This Row],[Tienda]],  Hoja1!A:A,   1,   0), "FALTA TIENDA"), "")</f>
        <v/>
      </c>
    </row>
    <row r="27">
      <c r="A27" s="2" t="n">
        <v>48</v>
      </c>
      <c r="B27" s="2" t="inlineStr">
        <is>
          <t>XALO</t>
        </is>
      </c>
      <c r="C27" s="2" t="inlineStr">
        <is>
          <t>ALICANTE</t>
        </is>
      </c>
      <c r="D27" s="4">
        <f>+IF(Tabla1[[#This Row],[Tienda]]&lt;&gt;"", IFERROR( VLOOKUP(Tabla1[[#This Row],[Tienda]],  Hoja1!A:A,   1,   0), "FALTA TIENDA"), "")</f>
        <v/>
      </c>
    </row>
    <row r="28">
      <c r="A28" s="2" t="n">
        <v>49</v>
      </c>
      <c r="B28" s="2" t="inlineStr">
        <is>
          <t>GUARDAMAR</t>
        </is>
      </c>
      <c r="C28" s="2" t="inlineStr">
        <is>
          <t>NORTE</t>
        </is>
      </c>
      <c r="D28" s="4">
        <f>+IF(Tabla1[[#This Row],[Tienda]]&lt;&gt;"", IFERROR( VLOOKUP(Tabla1[[#This Row],[Tienda]],  Hoja1!A:A,   1,   0), "FALTA TIENDA"), "")</f>
        <v/>
      </c>
    </row>
    <row r="29">
      <c r="A29" s="2" t="n">
        <v>50</v>
      </c>
      <c r="B29" s="2" t="inlineStr">
        <is>
          <t>PUZOL</t>
        </is>
      </c>
      <c r="C29" s="2" t="inlineStr">
        <is>
          <t>CASTELLON</t>
        </is>
      </c>
      <c r="D29" s="4">
        <f>+IF(Tabla1[[#This Row],[Tienda]]&lt;&gt;"", IFERROR( VLOOKUP(Tabla1[[#This Row],[Tienda]],  Hoja1!A:A,   1,   0), "FALTA TIENDA"), "")</f>
        <v/>
      </c>
    </row>
    <row r="30">
      <c r="A30" s="2" t="n">
        <v>51</v>
      </c>
      <c r="B30" s="2" t="inlineStr">
        <is>
          <t>GRAVINA</t>
        </is>
      </c>
      <c r="C30" s="2" t="inlineStr">
        <is>
          <t>NOCTURNA</t>
        </is>
      </c>
      <c r="D30" s="4">
        <f>+IF(Tabla1[[#This Row],[Tienda]]&lt;&gt;"", IFERROR( VLOOKUP(Tabla1[[#This Row],[Tienda]],  Hoja1!A:A,   1,   0), "FALTA TIENDA"), "")</f>
        <v/>
      </c>
    </row>
    <row r="31">
      <c r="A31" s="2" t="n">
        <v>52</v>
      </c>
      <c r="B31" s="2" t="inlineStr">
        <is>
          <t>PUERTO 23</t>
        </is>
      </c>
      <c r="C31" s="2" t="inlineStr">
        <is>
          <t>CASTELLON</t>
        </is>
      </c>
      <c r="D31" s="4">
        <f>+IF(Tabla1[[#This Row],[Tienda]]&lt;&gt;"", IFERROR( VLOOKUP(Tabla1[[#This Row],[Tienda]],  Hoja1!A:A,   1,   0), "FALTA TIENDA"), "")</f>
        <v/>
      </c>
    </row>
    <row r="32">
      <c r="A32" s="2" t="n">
        <v>54</v>
      </c>
      <c r="B32" s="2" t="inlineStr">
        <is>
          <t xml:space="preserve">JOSE ORTIZ </t>
        </is>
      </c>
      <c r="C32" s="2" t="inlineStr">
        <is>
          <t>NOCTURNA</t>
        </is>
      </c>
      <c r="D32" s="4">
        <f>+IF(Tabla1[[#This Row],[Tienda]]&lt;&gt;"", IFERROR( VLOOKUP(Tabla1[[#This Row],[Tienda]],  Hoja1!A:A,   1,   0), "FALTA TIENDA"), "")</f>
        <v/>
      </c>
    </row>
    <row r="33">
      <c r="A33" s="2" t="n">
        <v>55</v>
      </c>
      <c r="B33" s="2" t="inlineStr">
        <is>
          <t>RONDA PEDRO</t>
        </is>
      </c>
      <c r="C33" s="2" t="inlineStr">
        <is>
          <t>NOCTURNA</t>
        </is>
      </c>
      <c r="D33" s="4">
        <f>+IF(Tabla1[[#This Row],[Tienda]]&lt;&gt;"", IFERROR( VLOOKUP(Tabla1[[#This Row],[Tienda]],  Hoja1!A:A,   1,   0), "FALTA TIENDA"), "")</f>
        <v/>
      </c>
    </row>
    <row r="34">
      <c r="A34" s="2" t="n">
        <v>56</v>
      </c>
      <c r="B34" s="2" t="inlineStr">
        <is>
          <t xml:space="preserve">FCO. ALBIACH </t>
        </is>
      </c>
      <c r="C34" s="2" t="inlineStr">
        <is>
          <t>CASTELLON</t>
        </is>
      </c>
      <c r="D34" s="4">
        <f>+IF(Tabla1[[#This Row],[Tienda]]&lt;&gt;"", IFERROR( VLOOKUP(Tabla1[[#This Row],[Tienda]],  Hoja1!A:A,   1,   0), "FALTA TIENDA"), "")</f>
        <v/>
      </c>
    </row>
    <row r="35">
      <c r="A35" s="2" t="n">
        <v>57</v>
      </c>
      <c r="B35" s="2" t="inlineStr">
        <is>
          <t xml:space="preserve">JUAN PORCAR </t>
        </is>
      </c>
      <c r="C35" s="2" t="inlineStr">
        <is>
          <t>NOCTURNA</t>
        </is>
      </c>
      <c r="D35" s="4">
        <f>+IF(Tabla1[[#This Row],[Tienda]]&lt;&gt;"", IFERROR( VLOOKUP(Tabla1[[#This Row],[Tienda]],  Hoja1!A:A,   1,   0), "FALTA TIENDA"), "")</f>
        <v/>
      </c>
    </row>
    <row r="36">
      <c r="A36" s="2" t="n">
        <v>62</v>
      </c>
      <c r="B36" s="2" t="inlineStr">
        <is>
          <t xml:space="preserve">EL RAVAL </t>
        </is>
      </c>
      <c r="C36" s="2" t="inlineStr">
        <is>
          <t>NOCTURNA</t>
        </is>
      </c>
      <c r="D36" s="4">
        <f>+IF(Tabla1[[#This Row],[Tienda]]&lt;&gt;"", IFERROR( VLOOKUP(Tabla1[[#This Row],[Tienda]],  Hoja1!A:A,   1,   0), "FALTA TIENDA"), "")</f>
        <v/>
      </c>
    </row>
    <row r="37">
      <c r="A37" s="2" t="n">
        <v>64</v>
      </c>
      <c r="B37" s="2" t="inlineStr">
        <is>
          <t xml:space="preserve">FALCONS </t>
        </is>
      </c>
      <c r="C37" s="2" t="inlineStr">
        <is>
          <t>CASTELLON</t>
        </is>
      </c>
      <c r="D37" s="4">
        <f>+IF(Tabla1[[#This Row],[Tienda]]&lt;&gt;"", IFERROR( VLOOKUP(Tabla1[[#This Row],[Tienda]],  Hoja1!A:A,   1,   0), "FALTA TIENDA"), "")</f>
        <v/>
      </c>
    </row>
    <row r="38">
      <c r="A38" s="2" t="n">
        <v>65</v>
      </c>
      <c r="B38" s="2" t="inlineStr">
        <is>
          <t>PAIS VALENCIA</t>
        </is>
      </c>
      <c r="C38" s="2" t="inlineStr">
        <is>
          <t>CASTELLON</t>
        </is>
      </c>
      <c r="D38" s="4">
        <f>+IF(Tabla1[[#This Row],[Tienda]]&lt;&gt;"", IFERROR( VLOOKUP(Tabla1[[#This Row],[Tienda]],  Hoja1!A:A,   1,   0), "FALTA TIENDA"), "")</f>
        <v/>
      </c>
    </row>
    <row r="39">
      <c r="A39" s="2" t="n">
        <v>66</v>
      </c>
      <c r="B39" s="2" t="inlineStr">
        <is>
          <t>TORREVIEJA</t>
        </is>
      </c>
      <c r="C39" s="2" t="inlineStr">
        <is>
          <t>NORTE</t>
        </is>
      </c>
      <c r="D39" s="4">
        <f>+IF(Tabla1[[#This Row],[Tienda]]&lt;&gt;"", IFERROR( VLOOKUP(Tabla1[[#This Row],[Tienda]],  Hoja1!A:A,   1,   0), "FALTA TIENDA"), "")</f>
        <v/>
      </c>
    </row>
    <row r="40">
      <c r="A40" s="2" t="n">
        <v>67</v>
      </c>
      <c r="B40" s="2" t="inlineStr">
        <is>
          <t>CERAMISTA ABAD</t>
        </is>
      </c>
      <c r="C40" s="2" t="inlineStr">
        <is>
          <t>CASTELLON</t>
        </is>
      </c>
      <c r="D40" s="4">
        <f>+IF(Tabla1[[#This Row],[Tienda]]&lt;&gt;"", IFERROR( VLOOKUP(Tabla1[[#This Row],[Tienda]],  Hoja1!A:A,   1,   0), "FALTA TIENDA"), "")</f>
        <v/>
      </c>
    </row>
    <row r="41">
      <c r="A41" s="2" t="n">
        <v>68</v>
      </c>
      <c r="B41" s="2" t="inlineStr">
        <is>
          <t xml:space="preserve">SILLA </t>
        </is>
      </c>
      <c r="C41" s="2" t="inlineStr">
        <is>
          <t>VALENCIA</t>
        </is>
      </c>
      <c r="D41" s="4">
        <f>+IF(Tabla1[[#This Row],[Tienda]]&lt;&gt;"", IFERROR( VLOOKUP(Tabla1[[#This Row],[Tienda]],  Hoja1!A:A,   1,   0), "FALTA TIENDA"), "")</f>
        <v/>
      </c>
    </row>
    <row r="42">
      <c r="A42" s="2" t="n">
        <v>70</v>
      </c>
      <c r="B42" s="2" t="inlineStr">
        <is>
          <t xml:space="preserve">CRTA. SEGORBE </t>
        </is>
      </c>
      <c r="C42" s="2" t="inlineStr">
        <is>
          <t>NOCTURNA</t>
        </is>
      </c>
      <c r="D42" s="4">
        <f>+IF(Tabla1[[#This Row],[Tienda]]&lt;&gt;"", IFERROR( VLOOKUP(Tabla1[[#This Row],[Tienda]],  Hoja1!A:A,   1,   0), "FALTA TIENDA"), "")</f>
        <v/>
      </c>
    </row>
    <row r="43">
      <c r="A43" s="2" t="n">
        <v>72</v>
      </c>
      <c r="B43" s="2" t="inlineStr">
        <is>
          <t>ALFAS DEL PI</t>
        </is>
      </c>
      <c r="C43" s="2" t="inlineStr">
        <is>
          <t>ALICANTE</t>
        </is>
      </c>
      <c r="D43" s="4">
        <f>+IF(Tabla1[[#This Row],[Tienda]]&lt;&gt;"", IFERROR( VLOOKUP(Tabla1[[#This Row],[Tienda]],  Hoja1!A:A,   1,   0), "FALTA TIENDA"), "")</f>
        <v/>
      </c>
    </row>
    <row r="44">
      <c r="A44" s="2" t="n">
        <v>73</v>
      </c>
      <c r="B44" s="2" t="inlineStr">
        <is>
          <t>DENIA 2</t>
        </is>
      </c>
      <c r="C44" s="2" t="inlineStr">
        <is>
          <t>ALICANTE</t>
        </is>
      </c>
      <c r="D44" s="4">
        <f>+IF(Tabla1[[#This Row],[Tienda]]&lt;&gt;"", IFERROR( VLOOKUP(Tabla1[[#This Row],[Tienda]],  Hoja1!A:A,   1,   0), "FALTA TIENDA"), "")</f>
        <v/>
      </c>
    </row>
    <row r="45">
      <c r="A45" s="2" t="n">
        <v>81</v>
      </c>
      <c r="B45" s="2" t="inlineStr">
        <is>
          <t>PICASSENT</t>
        </is>
      </c>
      <c r="C45" s="2" t="inlineStr">
        <is>
          <t>VALENCIA</t>
        </is>
      </c>
      <c r="D45" s="4">
        <f>+IF(Tabla1[[#This Row],[Tienda]]&lt;&gt;"", IFERROR( VLOOKUP(Tabla1[[#This Row],[Tienda]],  Hoja1!A:A,   1,   0), "FALTA TIENDA"), "")</f>
        <v/>
      </c>
    </row>
    <row r="46">
      <c r="A46" s="2" t="n">
        <v>84</v>
      </c>
      <c r="B46" s="2" t="inlineStr">
        <is>
          <t xml:space="preserve">R.DE MONTROY </t>
        </is>
      </c>
      <c r="C46" s="2" t="inlineStr">
        <is>
          <t>VALENCIA</t>
        </is>
      </c>
      <c r="D46" s="4">
        <f>+IF(Tabla1[[#This Row],[Tienda]]&lt;&gt;"", IFERROR( VLOOKUP(Tabla1[[#This Row],[Tienda]],  Hoja1!A:A,   1,   0), "FALTA TIENDA"), "")</f>
        <v/>
      </c>
    </row>
    <row r="47">
      <c r="A47" s="2" t="n">
        <v>86</v>
      </c>
      <c r="B47" s="2" t="inlineStr">
        <is>
          <t>ALCOY-SABADELL</t>
        </is>
      </c>
      <c r="C47" s="2" t="inlineStr">
        <is>
          <t>ALCOY</t>
        </is>
      </c>
      <c r="D47" s="4">
        <f>+IF(Tabla1[[#This Row],[Tienda]]&lt;&gt;"", IFERROR( VLOOKUP(Tabla1[[#This Row],[Tienda]],  Hoja1!A:A,   1,   0), "FALTA TIENDA"), "")</f>
        <v/>
      </c>
    </row>
    <row r="48">
      <c r="A48" s="2" t="n">
        <v>89</v>
      </c>
      <c r="B48" s="2" t="inlineStr">
        <is>
          <t>COCENTAINA-GORGA</t>
        </is>
      </c>
      <c r="C48" s="2" t="inlineStr">
        <is>
          <t>ALCOY</t>
        </is>
      </c>
      <c r="D48" s="4">
        <f>+IF(Tabla1[[#This Row],[Tienda]]&lt;&gt;"", IFERROR( VLOOKUP(Tabla1[[#This Row],[Tienda]],  Hoja1!A:A,   1,   0), "FALTA TIENDA"), "")</f>
        <v/>
      </c>
    </row>
    <row r="49">
      <c r="A49" s="2" t="n">
        <v>90</v>
      </c>
      <c r="B49" s="2" t="inlineStr">
        <is>
          <t>ALCOY-SANTA ROSA</t>
        </is>
      </c>
      <c r="C49" s="2" t="inlineStr">
        <is>
          <t>ALCOY</t>
        </is>
      </c>
      <c r="D49" s="4">
        <f>+IF(Tabla1[[#This Row],[Tienda]]&lt;&gt;"", IFERROR( VLOOKUP(Tabla1[[#This Row],[Tienda]],  Hoja1!A:A,   1,   0), "FALTA TIENDA"), "")</f>
        <v/>
      </c>
    </row>
    <row r="50">
      <c r="A50" s="2" t="n">
        <v>96</v>
      </c>
      <c r="B50" s="2" t="inlineStr">
        <is>
          <t>S. VICENT- VELAZQUEZ</t>
        </is>
      </c>
      <c r="C50" s="2" t="inlineStr">
        <is>
          <t>SAN VICENTE</t>
        </is>
      </c>
      <c r="D50" s="4">
        <f>+IF(Tabla1[[#This Row],[Tienda]]&lt;&gt;"", IFERROR( VLOOKUP(Tabla1[[#This Row],[Tienda]],  Hoja1!A:A,   1,   0), "FALTA TIENDA"), "")</f>
        <v/>
      </c>
    </row>
    <row r="51">
      <c r="A51" s="2" t="n">
        <v>97</v>
      </c>
      <c r="B51" s="2" t="inlineStr">
        <is>
          <t>S. VICENT- RIO TURIA</t>
        </is>
      </c>
      <c r="C51" s="2" t="inlineStr">
        <is>
          <t>SAN VICENTE</t>
        </is>
      </c>
      <c r="D51" s="4">
        <f>+IF(Tabla1[[#This Row],[Tienda]]&lt;&gt;"", IFERROR( VLOOKUP(Tabla1[[#This Row],[Tienda]],  Hoja1!A:A,   1,   0), "FALTA TIENDA"), "")</f>
        <v/>
      </c>
    </row>
    <row r="52">
      <c r="A52" s="2" t="n">
        <v>98</v>
      </c>
      <c r="B52" s="2" t="inlineStr">
        <is>
          <t>S. VICENT- YUNKE</t>
        </is>
      </c>
      <c r="C52" s="2" t="inlineStr">
        <is>
          <t>SAN VICENTE</t>
        </is>
      </c>
      <c r="D52" s="4">
        <f>+IF(Tabla1[[#This Row],[Tienda]]&lt;&gt;"", IFERROR( VLOOKUP(Tabla1[[#This Row],[Tienda]],  Hoja1!A:A,   1,   0), "FALTA TIENDA"), "")</f>
        <v/>
      </c>
    </row>
    <row r="53">
      <c r="A53" s="2" t="n">
        <v>102</v>
      </c>
      <c r="B53" s="2" t="inlineStr">
        <is>
          <t xml:space="preserve">BORRIOL </t>
        </is>
      </c>
      <c r="C53" s="2" t="inlineStr">
        <is>
          <t>NOCTURNA</t>
        </is>
      </c>
      <c r="D53" s="4">
        <f>+IF(Tabla1[[#This Row],[Tienda]]&lt;&gt;"", IFERROR( VLOOKUP(Tabla1[[#This Row],[Tienda]],  Hoja1!A:A,   1,   0), "FALTA TIENDA"), "")</f>
        <v/>
      </c>
    </row>
    <row r="54">
      <c r="A54" s="2" t="n">
        <v>103</v>
      </c>
      <c r="B54" s="2" t="inlineStr">
        <is>
          <t xml:space="preserve">ONDARA II </t>
        </is>
      </c>
      <c r="C54" s="2" t="inlineStr">
        <is>
          <t>ALICANTE</t>
        </is>
      </c>
      <c r="D54" s="4">
        <f>+IF(Tabla1[[#This Row],[Tienda]]&lt;&gt;"", IFERROR( VLOOKUP(Tabla1[[#This Row],[Tienda]],  Hoja1!A:A,   1,   0), "FALTA TIENDA"), "")</f>
        <v/>
      </c>
    </row>
    <row r="55">
      <c r="A55" s="2" t="n">
        <v>104</v>
      </c>
      <c r="B55" s="2" t="inlineStr">
        <is>
          <t>SANTA POLA</t>
        </is>
      </c>
      <c r="C55" s="2" t="inlineStr">
        <is>
          <t>MURCIA</t>
        </is>
      </c>
      <c r="D55" s="4">
        <f>+IF(Tabla1[[#This Row],[Tienda]]&lt;&gt;"", IFERROR( VLOOKUP(Tabla1[[#This Row],[Tienda]],  Hoja1!A:A,   1,   0), "FALTA TIENDA"), "")</f>
        <v/>
      </c>
    </row>
    <row r="56">
      <c r="A56" s="2" t="n">
        <v>105</v>
      </c>
      <c r="B56" s="2" t="inlineStr">
        <is>
          <t xml:space="preserve"> SAN MIGUEL DE SALINAS</t>
        </is>
      </c>
      <c r="C56" s="2" t="inlineStr">
        <is>
          <t>MURCIA</t>
        </is>
      </c>
      <c r="D56" s="4">
        <f>+IF(Tabla1[[#This Row],[Tienda]]&lt;&gt;"", IFERROR( VLOOKUP(Tabla1[[#This Row],[Tienda]],  Hoja1!A:A,   1,   0), "FALTA TIENDA"), "")</f>
        <v/>
      </c>
    </row>
    <row r="57">
      <c r="A57" s="2" t="n">
        <v>107</v>
      </c>
      <c r="B57" s="2" t="inlineStr">
        <is>
          <t>ALCOI-PLAÇA ESPANYA</t>
        </is>
      </c>
      <c r="C57" s="2" t="inlineStr">
        <is>
          <t>ALCOY</t>
        </is>
      </c>
      <c r="D57" s="4">
        <f>+IF(Tabla1[[#This Row],[Tienda]]&lt;&gt;"", IFERROR( VLOOKUP(Tabla1[[#This Row],[Tienda]],  Hoja1!A:A,   1,   0), "FALTA TIENDA"), "")</f>
        <v/>
      </c>
    </row>
    <row r="58">
      <c r="A58" s="2" t="n">
        <v>108</v>
      </c>
      <c r="B58" s="2" t="inlineStr">
        <is>
          <t>BENIEL</t>
        </is>
      </c>
      <c r="C58" s="2" t="inlineStr">
        <is>
          <t>MURCIA</t>
        </is>
      </c>
      <c r="D58" s="4">
        <f>+IF(Tabla1[[#This Row],[Tienda]]&lt;&gt;"", IFERROR( VLOOKUP(Tabla1[[#This Row],[Tienda]],  Hoja1!A:A,   1,   0), "FALTA TIENDA"), "")</f>
        <v/>
      </c>
    </row>
    <row r="59">
      <c r="A59" s="2" t="n">
        <v>109</v>
      </c>
      <c r="B59" s="2" t="inlineStr">
        <is>
          <t>SAN JUAN</t>
        </is>
      </c>
      <c r="C59" s="2" t="inlineStr">
        <is>
          <t>SAN VICENTE</t>
        </is>
      </c>
      <c r="D59" s="4">
        <f>+IF(Tabla1[[#This Row],[Tienda]]&lt;&gt;"", IFERROR( VLOOKUP(Tabla1[[#This Row],[Tienda]],  Hoja1!A:A,   1,   0), "FALTA TIENDA"), "")</f>
        <v/>
      </c>
    </row>
    <row r="60">
      <c r="A60" s="2" t="n">
        <v>110</v>
      </c>
      <c r="B60" s="2" t="inlineStr">
        <is>
          <t>PILAR DE LA HORADADA</t>
        </is>
      </c>
      <c r="C60" s="2" t="inlineStr">
        <is>
          <t>NORTE</t>
        </is>
      </c>
      <c r="D60" s="4">
        <f>+IF(Tabla1[[#This Row],[Tienda]]&lt;&gt;"", IFERROR( VLOOKUP(Tabla1[[#This Row],[Tienda]],  Hoja1!A:A,   1,   0), "FALTA TIENDA"), "")</f>
        <v/>
      </c>
    </row>
    <row r="61">
      <c r="A61" s="2" t="n">
        <v>114</v>
      </c>
      <c r="B61" s="2" t="inlineStr">
        <is>
          <t>BENIDORM-RACÓ DE LOIX</t>
        </is>
      </c>
      <c r="C61" s="2" t="inlineStr">
        <is>
          <t>ALICANTE</t>
        </is>
      </c>
      <c r="D61" s="4">
        <f>+IF(Tabla1[[#This Row],[Tienda]]&lt;&gt;"", IFERROR( VLOOKUP(Tabla1[[#This Row],[Tienda]],  Hoja1!A:A,   1,   0), "FALTA TIENDA"), "")</f>
        <v/>
      </c>
    </row>
    <row r="62">
      <c r="A62" s="2" t="n">
        <v>115</v>
      </c>
      <c r="B62" s="2" t="inlineStr">
        <is>
          <t>BENIDORM-BENIARDA</t>
        </is>
      </c>
      <c r="C62" s="2" t="inlineStr">
        <is>
          <t>ALICANTE</t>
        </is>
      </c>
      <c r="D62" s="4">
        <f>+IF(Tabla1[[#This Row],[Tienda]]&lt;&gt;"", IFERROR( VLOOKUP(Tabla1[[#This Row],[Tienda]],  Hoja1!A:A,   1,   0), "FALTA TIENDA"), "")</f>
        <v/>
      </c>
    </row>
    <row r="63">
      <c r="A63" s="2" t="n">
        <v>116</v>
      </c>
      <c r="B63" s="2" t="inlineStr">
        <is>
          <t>BENIDORM-COMILLAS</t>
        </is>
      </c>
      <c r="C63" s="2" t="inlineStr">
        <is>
          <t>ALICANTE</t>
        </is>
      </c>
      <c r="D63" s="4">
        <f>+IF(Tabla1[[#This Row],[Tienda]]&lt;&gt;"", IFERROR( VLOOKUP(Tabla1[[#This Row],[Tienda]],  Hoja1!A:A,   1,   0), "FALTA TIENDA"), "")</f>
        <v/>
      </c>
    </row>
    <row r="64">
      <c r="A64" s="2" t="n">
        <v>120</v>
      </c>
      <c r="B64" s="2" t="inlineStr">
        <is>
          <t xml:space="preserve">CASTELLON HMNOS </t>
        </is>
      </c>
      <c r="C64" s="2" t="inlineStr">
        <is>
          <t>NOCTURNA</t>
        </is>
      </c>
      <c r="D64" s="4">
        <f>+IF(Tabla1[[#This Row],[Tienda]]&lt;&gt;"", IFERROR( VLOOKUP(Tabla1[[#This Row],[Tienda]],  Hoja1!A:A,   1,   0), "FALTA TIENDA"), "")</f>
        <v/>
      </c>
    </row>
    <row r="65">
      <c r="A65" s="2" t="n">
        <v>121</v>
      </c>
      <c r="B65" s="2" t="inlineStr">
        <is>
          <t>BENIDORM -SEVERO OCHOA</t>
        </is>
      </c>
      <c r="C65" s="2" t="inlineStr">
        <is>
          <t>ALICANTE</t>
        </is>
      </c>
      <c r="D65" s="4">
        <f>+IF(Tabla1[[#This Row],[Tienda]]&lt;&gt;"", IFERROR( VLOOKUP(Tabla1[[#This Row],[Tienda]],  Hoja1!A:A,   1,   0), "FALTA TIENDA"), "")</f>
        <v/>
      </c>
    </row>
    <row r="66">
      <c r="A66" s="2" t="n">
        <v>123</v>
      </c>
      <c r="B66" s="2" t="inlineStr">
        <is>
          <t>ELCHE</t>
        </is>
      </c>
      <c r="C66" s="2" t="inlineStr">
        <is>
          <t>MURCIA</t>
        </is>
      </c>
      <c r="D66" s="4">
        <f>+IF(Tabla1[[#This Row],[Tienda]]&lt;&gt;"", IFERROR( VLOOKUP(Tabla1[[#This Row],[Tienda]],  Hoja1!A:A,   1,   0), "FALTA TIENDA"), "")</f>
        <v/>
      </c>
    </row>
    <row r="67">
      <c r="A67" s="2" t="n">
        <v>124</v>
      </c>
      <c r="B67" s="2" t="inlineStr">
        <is>
          <t>PEGO</t>
        </is>
      </c>
      <c r="C67" s="2" t="inlineStr">
        <is>
          <t>ALICANTE</t>
        </is>
      </c>
      <c r="D67" s="4">
        <f>+IF(Tabla1[[#This Row],[Tienda]]&lt;&gt;"", IFERROR( VLOOKUP(Tabla1[[#This Row],[Tienda]],  Hoja1!A:A,   1,   0), "FALTA TIENDA"), "")</f>
        <v/>
      </c>
    </row>
    <row r="68">
      <c r="A68" s="2" t="n">
        <v>125</v>
      </c>
      <c r="B68" s="2" t="inlineStr">
        <is>
          <t xml:space="preserve">PTO. SAGUNTO </t>
        </is>
      </c>
      <c r="C68" s="2" t="inlineStr">
        <is>
          <t>VALENCIA</t>
        </is>
      </c>
      <c r="D68" s="4">
        <f>+IF(Tabla1[[#This Row],[Tienda]]&lt;&gt;"", IFERROR( VLOOKUP(Tabla1[[#This Row],[Tienda]],  Hoja1!A:A,   1,   0), "FALTA TIENDA"), "")</f>
        <v/>
      </c>
    </row>
    <row r="69">
      <c r="A69" s="2" t="n">
        <v>126</v>
      </c>
      <c r="B69" s="2" t="inlineStr">
        <is>
          <t>MANISES</t>
        </is>
      </c>
      <c r="C69" s="2" t="inlineStr">
        <is>
          <t>VALENCIA</t>
        </is>
      </c>
      <c r="D69" s="4">
        <f>+IF(Tabla1[[#This Row],[Tienda]]&lt;&gt;"", IFERROR( VLOOKUP(Tabla1[[#This Row],[Tienda]],  Hoja1!A:A,   1,   0), "FALTA TIENDA"), "")</f>
        <v/>
      </c>
    </row>
    <row r="70">
      <c r="A70" s="2" t="n">
        <v>127</v>
      </c>
      <c r="B70" s="2" t="inlineStr">
        <is>
          <t>CASTELLON DEL RUGAT</t>
        </is>
      </c>
      <c r="C70" s="2" t="inlineStr">
        <is>
          <t>VALENCIA</t>
        </is>
      </c>
      <c r="D70" s="4">
        <f>+IF(Tabla1[[#This Row],[Tienda]]&lt;&gt;"", IFERROR( VLOOKUP(Tabla1[[#This Row],[Tienda]],  Hoja1!A:A,   1,   0), "FALTA TIENDA"), "")</f>
        <v/>
      </c>
    </row>
    <row r="71">
      <c r="A71" s="2" t="n">
        <v>129</v>
      </c>
      <c r="B71" s="2" t="inlineStr">
        <is>
          <t>XIVA</t>
        </is>
      </c>
      <c r="C71" s="2" t="inlineStr">
        <is>
          <t>VALENCIA</t>
        </is>
      </c>
      <c r="D71" s="4">
        <f>+IF(Tabla1[[#This Row],[Tienda]]&lt;&gt;"", IFERROR( VLOOKUP(Tabla1[[#This Row],[Tienda]],  Hoja1!A:A,   1,   0), "FALTA TIENDA"), "")</f>
        <v/>
      </c>
    </row>
    <row r="72">
      <c r="A72" s="2" t="n">
        <v>130</v>
      </c>
      <c r="B72" s="2" t="inlineStr">
        <is>
          <t>XIXONA</t>
        </is>
      </c>
      <c r="C72" s="2" t="inlineStr">
        <is>
          <t>SAN VICENTE</t>
        </is>
      </c>
      <c r="D72" s="4">
        <f>+IF(Tabla1[[#This Row],[Tienda]]&lt;&gt;"", IFERROR( VLOOKUP(Tabla1[[#This Row],[Tienda]],  Hoja1!A:A,   1,   0), "FALTA TIENDA"), "")</f>
        <v/>
      </c>
    </row>
    <row r="73">
      <c r="A73" s="2" t="n">
        <v>132</v>
      </c>
      <c r="B73" s="2" t="inlineStr">
        <is>
          <t>FORTUNA</t>
        </is>
      </c>
      <c r="C73" s="2" t="inlineStr">
        <is>
          <t>NORTE</t>
        </is>
      </c>
      <c r="D73" s="4">
        <f>+IF(Tabla1[[#This Row],[Tienda]]&lt;&gt;"", IFERROR( VLOOKUP(Tabla1[[#This Row],[Tienda]],  Hoja1!A:A,   1,   0), "FALTA TIENDA"), "")</f>
        <v/>
      </c>
    </row>
    <row r="74">
      <c r="A74" s="2" t="n">
        <v>133</v>
      </c>
      <c r="B74" s="2" t="inlineStr">
        <is>
          <t xml:space="preserve">EL PALMAR </t>
        </is>
      </c>
      <c r="C74" s="2" t="inlineStr">
        <is>
          <t>MURCIA</t>
        </is>
      </c>
      <c r="D74" s="4">
        <f>+IF(Tabla1[[#This Row],[Tienda]]&lt;&gt;"", IFERROR( VLOOKUP(Tabla1[[#This Row],[Tienda]],  Hoja1!A:A,   1,   0), "FALTA TIENDA"), "")</f>
        <v/>
      </c>
    </row>
    <row r="75">
      <c r="A75" s="2" t="n">
        <v>134</v>
      </c>
      <c r="B75" s="2" t="inlineStr">
        <is>
          <t>LOS DOLORES</t>
        </is>
      </c>
      <c r="C75" s="2" t="inlineStr">
        <is>
          <t>MURCIA</t>
        </is>
      </c>
      <c r="D75" s="4">
        <f>+IF(Tabla1[[#This Row],[Tienda]]&lt;&gt;"", IFERROR( VLOOKUP(Tabla1[[#This Row],[Tienda]],  Hoja1!A:A,   1,   0), "FALTA TIENDA"), "")</f>
        <v/>
      </c>
    </row>
    <row r="76">
      <c r="A76" s="2" t="n">
        <v>137</v>
      </c>
      <c r="B76" s="2" t="inlineStr">
        <is>
          <t xml:space="preserve">BENIFAIRO </t>
        </is>
      </c>
      <c r="C76" s="2" t="inlineStr">
        <is>
          <t>CASTELLON</t>
        </is>
      </c>
      <c r="D76" s="4">
        <f>+IF(Tabla1[[#This Row],[Tienda]]&lt;&gt;"", IFERROR( VLOOKUP(Tabla1[[#This Row],[Tienda]],  Hoja1!A:A,   1,   0), "FALTA TIENDA"), "")</f>
        <v/>
      </c>
    </row>
    <row r="77">
      <c r="A77" s="2" t="n">
        <v>138</v>
      </c>
      <c r="B77" s="2" t="inlineStr">
        <is>
          <t>SAN JOAN DE MORO</t>
        </is>
      </c>
      <c r="C77" s="2" t="inlineStr">
        <is>
          <t>CASTELLON</t>
        </is>
      </c>
      <c r="D77" s="4">
        <f>+IF(Tabla1[[#This Row],[Tienda]]&lt;&gt;"", IFERROR( VLOOKUP(Tabla1[[#This Row],[Tienda]],  Hoja1!A:A,   1,   0), "FALTA TIENDA"), "")</f>
        <v/>
      </c>
    </row>
    <row r="78">
      <c r="A78" s="2" t="n">
        <v>139</v>
      </c>
      <c r="B78" s="2" t="inlineStr">
        <is>
          <t>BENIGANIM</t>
        </is>
      </c>
      <c r="C78" s="2" t="inlineStr">
        <is>
          <t>VALENCIA</t>
        </is>
      </c>
      <c r="D78" s="4">
        <f>+IF(Tabla1[[#This Row],[Tienda]]&lt;&gt;"", IFERROR( VLOOKUP(Tabla1[[#This Row],[Tienda]],  Hoja1!A:A,   1,   0), "FALTA TIENDA"), "")</f>
        <v/>
      </c>
    </row>
    <row r="79">
      <c r="A79" s="2" t="n">
        <v>140</v>
      </c>
      <c r="B79" s="2" t="inlineStr">
        <is>
          <t xml:space="preserve">GANDIA-M.CATALÁ </t>
        </is>
      </c>
      <c r="C79" s="2" t="inlineStr">
        <is>
          <t>VALENCIA</t>
        </is>
      </c>
      <c r="D79" s="4">
        <f>+IF(Tabla1[[#This Row],[Tienda]]&lt;&gt;"", IFERROR( VLOOKUP(Tabla1[[#This Row],[Tienda]],  Hoja1!A:A,   1,   0), "FALTA TIENDA"), "")</f>
        <v/>
      </c>
    </row>
    <row r="80">
      <c r="A80" s="2" t="n">
        <v>144</v>
      </c>
      <c r="B80" s="2" t="inlineStr">
        <is>
          <t>CARCAIXENT</t>
        </is>
      </c>
      <c r="C80" s="2" t="inlineStr">
        <is>
          <t>VALENCIA</t>
        </is>
      </c>
      <c r="D80" s="4">
        <f>+IF(Tabla1[[#This Row],[Tienda]]&lt;&gt;"", IFERROR( VLOOKUP(Tabla1[[#This Row],[Tienda]],  Hoja1!A:A,   1,   0), "FALTA TIENDA"), "")</f>
        <v/>
      </c>
    </row>
    <row r="81">
      <c r="A81" s="2" t="n">
        <v>146</v>
      </c>
      <c r="B81" s="2" t="inlineStr">
        <is>
          <t>GANDIA UNIVERSIDAD</t>
        </is>
      </c>
      <c r="C81" s="2" t="inlineStr">
        <is>
          <t>VALENCIA</t>
        </is>
      </c>
      <c r="D81" s="4">
        <f>+IF(Tabla1[[#This Row],[Tienda]]&lt;&gt;"", IFERROR( VLOOKUP(Tabla1[[#This Row],[Tienda]],  Hoja1!A:A,   1,   0), "FALTA TIENDA"), "")</f>
        <v/>
      </c>
    </row>
    <row r="82">
      <c r="A82" s="2" t="n">
        <v>147</v>
      </c>
      <c r="B82" s="2" t="inlineStr">
        <is>
          <t xml:space="preserve">GUADASSUAR </t>
        </is>
      </c>
      <c r="C82" s="2" t="inlineStr">
        <is>
          <t>VALENCIA</t>
        </is>
      </c>
      <c r="D82" s="4">
        <f>+IF(Tabla1[[#This Row],[Tienda]]&lt;&gt;"", IFERROR( VLOOKUP(Tabla1[[#This Row],[Tienda]],  Hoja1!A:A,   1,   0), "FALTA TIENDA"), "")</f>
        <v/>
      </c>
    </row>
    <row r="83">
      <c r="A83" s="2" t="n">
        <v>148</v>
      </c>
      <c r="B83" s="2" t="inlineStr">
        <is>
          <t xml:space="preserve">TAVERNES </t>
        </is>
      </c>
      <c r="C83" s="2" t="inlineStr">
        <is>
          <t>VALENCIA</t>
        </is>
      </c>
      <c r="D83" s="4">
        <f>+IF(Tabla1[[#This Row],[Tienda]]&lt;&gt;"", IFERROR( VLOOKUP(Tabla1[[#This Row],[Tienda]],  Hoja1!A:A,   1,   0), "FALTA TIENDA"), "")</f>
        <v/>
      </c>
    </row>
    <row r="84">
      <c r="A84" s="2" t="n">
        <v>151</v>
      </c>
      <c r="B84" s="2" t="inlineStr">
        <is>
          <t>SAN JUAN-C/PINTOR</t>
        </is>
      </c>
      <c r="C84" s="2" t="inlineStr">
        <is>
          <t>SAN VICENTE</t>
        </is>
      </c>
      <c r="D84" s="4">
        <f>+IF(Tabla1[[#This Row],[Tienda]]&lt;&gt;"", IFERROR( VLOOKUP(Tabla1[[#This Row],[Tienda]],  Hoja1!A:A,   1,   0), "FALTA TIENDA"), "")</f>
        <v/>
      </c>
    </row>
    <row r="85">
      <c r="A85" s="2" t="n">
        <v>155</v>
      </c>
      <c r="B85" s="2" t="inlineStr">
        <is>
          <t>ALZIRA</t>
        </is>
      </c>
      <c r="C85" s="2" t="inlineStr">
        <is>
          <t>VALENCIA</t>
        </is>
      </c>
      <c r="D85" s="4">
        <f>+IF(Tabla1[[#This Row],[Tienda]]&lt;&gt;"", IFERROR( VLOOKUP(Tabla1[[#This Row],[Tienda]],  Hoja1!A:A,   1,   0), "FALTA TIENDA"), "")</f>
        <v/>
      </c>
    </row>
    <row r="86">
      <c r="A86" s="2" t="n">
        <v>156</v>
      </c>
      <c r="B86" s="2" t="inlineStr">
        <is>
          <t>BURJASSOT</t>
        </is>
      </c>
      <c r="C86" s="2" t="inlineStr">
        <is>
          <t>VALENCIA</t>
        </is>
      </c>
      <c r="D86" s="4">
        <f>+IF(Tabla1[[#This Row],[Tienda]]&lt;&gt;"", IFERROR( VLOOKUP(Tabla1[[#This Row],[Tienda]],  Hoja1!A:A,   1,   0), "FALTA TIENDA"), "")</f>
        <v/>
      </c>
    </row>
    <row r="87">
      <c r="A87" s="2" t="n">
        <v>158</v>
      </c>
      <c r="B87" s="2" t="inlineStr">
        <is>
          <t>BONREPOS</t>
        </is>
      </c>
      <c r="C87" s="2" t="inlineStr">
        <is>
          <t>VALENCIA</t>
        </is>
      </c>
      <c r="D87" s="4">
        <f>+IF(Tabla1[[#This Row],[Tienda]]&lt;&gt;"", IFERROR( VLOOKUP(Tabla1[[#This Row],[Tienda]],  Hoja1!A:A,   1,   0), "FALTA TIENDA"), "")</f>
        <v/>
      </c>
    </row>
    <row r="88">
      <c r="A88" s="2" t="n">
        <v>161</v>
      </c>
      <c r="B88" s="2" t="inlineStr">
        <is>
          <t>ORBA</t>
        </is>
      </c>
      <c r="C88" s="2" t="inlineStr">
        <is>
          <t>ALICANTE</t>
        </is>
      </c>
      <c r="D88" s="4">
        <f>+IF(Tabla1[[#This Row],[Tienda]]&lt;&gt;"", IFERROR( VLOOKUP(Tabla1[[#This Row],[Tienda]],  Hoja1!A:A,   1,   0), "FALTA TIENDA"), "")</f>
        <v/>
      </c>
    </row>
    <row r="89">
      <c r="A89" s="2" t="n">
        <v>162</v>
      </c>
      <c r="B89" s="2" t="inlineStr">
        <is>
          <t>AV. PLATA</t>
        </is>
      </c>
      <c r="C89" s="2" t="inlineStr">
        <is>
          <t>VALENCIA</t>
        </is>
      </c>
      <c r="D89" s="4">
        <f>+IF(Tabla1[[#This Row],[Tienda]]&lt;&gt;"", IFERROR( VLOOKUP(Tabla1[[#This Row],[Tienda]],  Hoja1!A:A,   1,   0), "FALTA TIENDA"), "")</f>
        <v/>
      </c>
    </row>
    <row r="90">
      <c r="A90" s="2" t="n">
        <v>163</v>
      </c>
      <c r="B90" s="2" t="inlineStr">
        <is>
          <t xml:space="preserve">LA NAO </t>
        </is>
      </c>
      <c r="C90" s="2" t="inlineStr">
        <is>
          <t>ALICANTE</t>
        </is>
      </c>
      <c r="D90" s="4">
        <f>+IF(Tabla1[[#This Row],[Tienda]]&lt;&gt;"", IFERROR( VLOOKUP(Tabla1[[#This Row],[Tienda]],  Hoja1!A:A,   1,   0), "FALTA TIENDA"), "")</f>
        <v/>
      </c>
    </row>
    <row r="91">
      <c r="A91" s="2" t="n">
        <v>166</v>
      </c>
      <c r="B91" s="2" t="inlineStr">
        <is>
          <t>ELCHE II</t>
        </is>
      </c>
      <c r="C91" s="2" t="inlineStr">
        <is>
          <t>MURCIA</t>
        </is>
      </c>
      <c r="D91" s="4">
        <f>+IF(Tabla1[[#This Row],[Tienda]]&lt;&gt;"", IFERROR( VLOOKUP(Tabla1[[#This Row],[Tienda]],  Hoja1!A:A,   1,   0), "FALTA TIENDA"), "")</f>
        <v/>
      </c>
    </row>
    <row r="92">
      <c r="A92" s="2" t="n">
        <v>167</v>
      </c>
      <c r="B92" s="2" t="inlineStr">
        <is>
          <t>ALICANTE-AVD AGUILERA</t>
        </is>
      </c>
      <c r="C92" s="2" t="inlineStr">
        <is>
          <t>SAN VICENTE</t>
        </is>
      </c>
      <c r="D92" s="4">
        <f>+IF(Tabla1[[#This Row],[Tienda]]&lt;&gt;"", IFERROR( VLOOKUP(Tabla1[[#This Row],[Tienda]],  Hoja1!A:A,   1,   0), "FALTA TIENDA"), "")</f>
        <v/>
      </c>
    </row>
    <row r="93">
      <c r="A93" s="2" t="n">
        <v>168</v>
      </c>
      <c r="B93" s="2" t="inlineStr">
        <is>
          <t>CALDERON</t>
        </is>
      </c>
      <c r="C93" s="2" t="inlineStr">
        <is>
          <t>CASTELLON</t>
        </is>
      </c>
      <c r="D93" s="4">
        <f>+IF(Tabla1[[#This Row],[Tienda]]&lt;&gt;"", IFERROR( VLOOKUP(Tabla1[[#This Row],[Tienda]],  Hoja1!A:A,   1,   0), "FALTA TIENDA"), "")</f>
        <v/>
      </c>
    </row>
    <row r="94">
      <c r="A94" s="2" t="n">
        <v>171</v>
      </c>
      <c r="B94" s="2" t="inlineStr">
        <is>
          <t>VILLAREAL</t>
        </is>
      </c>
      <c r="C94" s="2" t="inlineStr">
        <is>
          <t>CASTELLON</t>
        </is>
      </c>
      <c r="D94" s="4">
        <f>+IF(Tabla1[[#This Row],[Tienda]]&lt;&gt;"", IFERROR( VLOOKUP(Tabla1[[#This Row],[Tienda]],  Hoja1!A:A,   1,   0), "FALTA TIENDA"), "")</f>
        <v/>
      </c>
    </row>
    <row r="95">
      <c r="A95" s="2" t="n">
        <v>173</v>
      </c>
      <c r="B95" s="2" t="inlineStr">
        <is>
          <t>ALICANTE- CALLE ALEMANIA</t>
        </is>
      </c>
      <c r="C95" s="2" t="inlineStr">
        <is>
          <t>SAN VICENTE</t>
        </is>
      </c>
      <c r="D95" s="4">
        <f>+IF(Tabla1[[#This Row],[Tienda]]&lt;&gt;"", IFERROR( VLOOKUP(Tabla1[[#This Row],[Tienda]],  Hoja1!A:A,   1,   0), "FALTA TIENDA"), "")</f>
        <v/>
      </c>
    </row>
    <row r="96">
      <c r="A96" s="2" t="n">
        <v>174</v>
      </c>
      <c r="B96" s="2" t="inlineStr">
        <is>
          <t>GANDIA-SAN RAFAEL</t>
        </is>
      </c>
      <c r="C96" s="2" t="inlineStr">
        <is>
          <t>VALENCIA</t>
        </is>
      </c>
      <c r="D96" s="4">
        <f>+IF(Tabla1[[#This Row],[Tienda]]&lt;&gt;"", IFERROR( VLOOKUP(Tabla1[[#This Row],[Tienda]],  Hoja1!A:A,   1,   0), "FALTA TIENDA"), "")</f>
        <v/>
      </c>
    </row>
    <row r="97">
      <c r="A97" s="2" t="n">
        <v>175</v>
      </c>
      <c r="B97" s="2" t="inlineStr">
        <is>
          <t>VALENCIA-EDUARDO BOSCA</t>
        </is>
      </c>
      <c r="C97" s="2" t="inlineStr">
        <is>
          <t>VALENCIA</t>
        </is>
      </c>
      <c r="D97" s="4">
        <f>+IF(Tabla1[[#This Row],[Tienda]]&lt;&gt;"", IFERROR( VLOOKUP(Tabla1[[#This Row],[Tienda]],  Hoja1!A:A,   1,   0), "FALTA TIENDA"), "")</f>
        <v/>
      </c>
    </row>
    <row r="98">
      <c r="A98" s="2" t="n">
        <v>176</v>
      </c>
      <c r="B98" s="2" t="inlineStr">
        <is>
          <t>NOVELDA</t>
        </is>
      </c>
      <c r="C98" s="2" t="inlineStr">
        <is>
          <t>MURCIA</t>
        </is>
      </c>
      <c r="D98" s="4">
        <f>+IF(Tabla1[[#This Row],[Tienda]]&lt;&gt;"", IFERROR( VLOOKUP(Tabla1[[#This Row],[Tienda]],  Hoja1!A:A,   1,   0), "FALTA TIENDA"), "")</f>
        <v/>
      </c>
    </row>
    <row r="99">
      <c r="A99" s="2" t="n">
        <v>177</v>
      </c>
      <c r="B99" s="2" t="inlineStr">
        <is>
          <t>MOLINA DE SEGURA</t>
        </is>
      </c>
      <c r="C99" s="2" t="inlineStr">
        <is>
          <t>NORTE</t>
        </is>
      </c>
      <c r="D99" s="4">
        <f>+IF(Tabla1[[#This Row],[Tienda]]&lt;&gt;"", IFERROR( VLOOKUP(Tabla1[[#This Row],[Tienda]],  Hoja1!A:A,   1,   0), "FALTA TIENDA"), "")</f>
        <v/>
      </c>
    </row>
    <row r="100">
      <c r="A100" s="2" t="n">
        <v>179</v>
      </c>
      <c r="B100" s="2" t="inlineStr">
        <is>
          <t>BETERA</t>
        </is>
      </c>
      <c r="C100" s="2" t="inlineStr">
        <is>
          <t>VALENCIA</t>
        </is>
      </c>
      <c r="D100" s="4">
        <f>+IF(Tabla1[[#This Row],[Tienda]]&lt;&gt;"", IFERROR( VLOOKUP(Tabla1[[#This Row],[Tienda]],  Hoja1!A:A,   1,   0), "FALTA TIENDA"), "")</f>
        <v/>
      </c>
    </row>
    <row r="101">
      <c r="A101" s="2" t="n">
        <v>180</v>
      </c>
      <c r="B101" s="2" t="inlineStr">
        <is>
          <t>CIUDAD QUESADA</t>
        </is>
      </c>
      <c r="C101" s="2" t="inlineStr">
        <is>
          <t>NORTE</t>
        </is>
      </c>
      <c r="D101" s="4">
        <f>+IF(Tabla1[[#This Row],[Tienda]]&lt;&gt;"", IFERROR( VLOOKUP(Tabla1[[#This Row],[Tienda]],  Hoja1!A:A,   1,   0), "FALTA TIENDA"), "")</f>
        <v/>
      </c>
    </row>
    <row r="102">
      <c r="A102" s="2" t="n">
        <v>182</v>
      </c>
      <c r="B102" s="2" t="inlineStr">
        <is>
          <t xml:space="preserve">PATERNA </t>
        </is>
      </c>
      <c r="C102" s="2" t="inlineStr">
        <is>
          <t>VALENCIA</t>
        </is>
      </c>
      <c r="D102" s="4">
        <f>+IF(Tabla1[[#This Row],[Tienda]]&lt;&gt;"", IFERROR( VLOOKUP(Tabla1[[#This Row],[Tienda]],  Hoja1!A:A,   1,   0), "FALTA TIENDA"), "")</f>
        <v/>
      </c>
    </row>
    <row r="103">
      <c r="A103" s="2" t="n">
        <v>186</v>
      </c>
      <c r="B103" s="2" t="inlineStr">
        <is>
          <t>SANTA ANA</t>
        </is>
      </c>
      <c r="C103" s="2" t="inlineStr">
        <is>
          <t>MURCIA</t>
        </is>
      </c>
      <c r="D103" s="4">
        <f>+IF(Tabla1[[#This Row],[Tienda]]&lt;&gt;"", IFERROR( VLOOKUP(Tabla1[[#This Row],[Tienda]],  Hoja1!A:A,   1,   0), "FALTA TIENDA"), "")</f>
        <v/>
      </c>
    </row>
    <row r="104">
      <c r="A104" s="2" t="n">
        <v>187</v>
      </c>
      <c r="B104" s="2" t="inlineStr">
        <is>
          <t>SAGUNTO</t>
        </is>
      </c>
      <c r="C104" s="2" t="inlineStr">
        <is>
          <t>CASTELLON</t>
        </is>
      </c>
      <c r="D104" s="4">
        <f>+IF(Tabla1[[#This Row],[Tienda]]&lt;&gt;"", IFERROR( VLOOKUP(Tabla1[[#This Row],[Tienda]],  Hoja1!A:A,   1,   0), "FALTA TIENDA"), "")</f>
        <v/>
      </c>
    </row>
    <row r="105">
      <c r="A105" s="2" t="n">
        <v>188</v>
      </c>
      <c r="B105" s="2" t="inlineStr">
        <is>
          <t>PEDREGUER-JOAN CARLES I</t>
        </is>
      </c>
      <c r="C105" s="2" t="inlineStr">
        <is>
          <t>ALICANTE</t>
        </is>
      </c>
      <c r="D105" s="4">
        <f>+IF(Tabla1[[#This Row],[Tienda]]&lt;&gt;"", IFERROR( VLOOKUP(Tabla1[[#This Row],[Tienda]],  Hoja1!A:A,   1,   0), "FALTA TIENDA"), "")</f>
        <v/>
      </c>
    </row>
    <row r="106">
      <c r="A106" s="2" t="n">
        <v>189</v>
      </c>
      <c r="B106" s="2" t="inlineStr">
        <is>
          <t xml:space="preserve">LA NUCIA </t>
        </is>
      </c>
      <c r="C106" s="2" t="inlineStr">
        <is>
          <t>ALICANTE</t>
        </is>
      </c>
      <c r="D106" s="4">
        <f>+IF(Tabla1[[#This Row],[Tienda]]&lt;&gt;"", IFERROR( VLOOKUP(Tabla1[[#This Row],[Tienda]],  Hoja1!A:A,   1,   0), "FALTA TIENDA"), "")</f>
        <v/>
      </c>
    </row>
    <row r="107">
      <c r="A107" s="2" t="n">
        <v>190</v>
      </c>
      <c r="B107" s="2" t="inlineStr">
        <is>
          <t>DENIA PEDRERA</t>
        </is>
      </c>
      <c r="C107" s="2" t="inlineStr">
        <is>
          <t>ALICANTE</t>
        </is>
      </c>
      <c r="D107" s="4">
        <f>+IF(Tabla1[[#This Row],[Tienda]]&lt;&gt;"", IFERROR( VLOOKUP(Tabla1[[#This Row],[Tienda]],  Hoja1!A:A,   1,   0), "FALTA TIENDA"), "")</f>
        <v/>
      </c>
    </row>
    <row r="108">
      <c r="A108" s="2" t="n">
        <v>191</v>
      </c>
      <c r="B108" s="2" t="inlineStr">
        <is>
          <t xml:space="preserve">VERGEL </t>
        </is>
      </c>
      <c r="C108" s="2" t="inlineStr">
        <is>
          <t>ALICANTE</t>
        </is>
      </c>
      <c r="D108" s="4">
        <f>+IF(Tabla1[[#This Row],[Tienda]]&lt;&gt;"", IFERROR( VLOOKUP(Tabla1[[#This Row],[Tienda]],  Hoja1!A:A,   1,   0), "FALTA TIENDA"), "")</f>
        <v/>
      </c>
    </row>
    <row r="109">
      <c r="A109" s="2" t="n">
        <v>192</v>
      </c>
      <c r="B109" s="2" t="inlineStr">
        <is>
          <t>OBRADOR</t>
        </is>
      </c>
      <c r="C109" s="2" t="inlineStr">
        <is>
          <t>ALICANTE</t>
        </is>
      </c>
      <c r="D109" s="4">
        <f>+IF(Tabla1[[#This Row],[Tienda]]&lt;&gt;"", IFERROR( VLOOKUP(Tabla1[[#This Row],[Tienda]],  Hoja1!A:A,   1,   0), "FALTA TIENDA"), "")</f>
        <v/>
      </c>
    </row>
    <row r="110">
      <c r="A110" s="2" t="n">
        <v>193</v>
      </c>
      <c r="B110" s="2" t="inlineStr">
        <is>
          <t xml:space="preserve">XERACO  </t>
        </is>
      </c>
      <c r="C110" s="2" t="inlineStr">
        <is>
          <t>VALENCIA</t>
        </is>
      </c>
      <c r="D110" s="4">
        <f>+IF(Tabla1[[#This Row],[Tienda]]&lt;&gt;"", IFERROR( VLOOKUP(Tabla1[[#This Row],[Tienda]],  Hoja1!A:A,   1,   0), "FALTA TIENDA"), "")</f>
        <v/>
      </c>
    </row>
    <row r="111">
      <c r="A111" s="2" t="n">
        <v>194</v>
      </c>
      <c r="B111" s="2" t="inlineStr">
        <is>
          <t>PEÑISCOLA</t>
        </is>
      </c>
      <c r="C111" s="2" t="inlineStr">
        <is>
          <t>CASTELLON</t>
        </is>
      </c>
      <c r="D111" s="4">
        <f>+IF(Tabla1[[#This Row],[Tienda]]&lt;&gt;"", IFERROR( VLOOKUP(Tabla1[[#This Row],[Tienda]],  Hoja1!A:A,   1,   0), "FALTA TIENDA"), "")</f>
        <v/>
      </c>
    </row>
    <row r="112">
      <c r="A112" s="2" t="n">
        <v>195</v>
      </c>
      <c r="B112" s="2" t="inlineStr">
        <is>
          <t>GRAO CASTELLON-SERRADAL</t>
        </is>
      </c>
      <c r="C112" s="2" t="inlineStr">
        <is>
          <t>CASTELLON</t>
        </is>
      </c>
      <c r="D112" s="4">
        <f>+IF(Tabla1[[#This Row],[Tienda]]&lt;&gt;"", IFERROR( VLOOKUP(Tabla1[[#This Row],[Tienda]],  Hoja1!A:A,   1,   0), "FALTA TIENDA"), "")</f>
        <v/>
      </c>
    </row>
    <row r="113">
      <c r="A113" s="2" t="n">
        <v>197</v>
      </c>
      <c r="B113" s="2" t="inlineStr">
        <is>
          <t>ALICANTE-ISLA CORFÚ</t>
        </is>
      </c>
      <c r="C113" s="2" t="inlineStr">
        <is>
          <t>SAN VICENTE</t>
        </is>
      </c>
      <c r="D113" s="4">
        <f>+IF(Tabla1[[#This Row],[Tienda]]&lt;&gt;"", IFERROR( VLOOKUP(Tabla1[[#This Row],[Tienda]],  Hoja1!A:A,   1,   0), "FALTA TIENDA"), "")</f>
        <v/>
      </c>
    </row>
    <row r="114">
      <c r="A114" s="2" t="n">
        <v>201</v>
      </c>
      <c r="B114" s="2" t="inlineStr">
        <is>
          <t>DENIA-ROTES</t>
        </is>
      </c>
      <c r="C114" s="2" t="inlineStr">
        <is>
          <t>ALICANTE</t>
        </is>
      </c>
      <c r="D114" s="4">
        <f>+IF(Tabla1[[#This Row],[Tienda]]&lt;&gt;"", IFERROR( VLOOKUP(Tabla1[[#This Row],[Tienda]],  Hoja1!A:A,   1,   0), "FALTA TIENDA"), "")</f>
        <v/>
      </c>
    </row>
    <row r="115">
      <c r="A115" s="2" t="n">
        <v>203</v>
      </c>
      <c r="B115" s="2" t="inlineStr">
        <is>
          <t>TORRES DE COTILLAS</t>
        </is>
      </c>
      <c r="C115" s="2" t="inlineStr">
        <is>
          <t>MURCIA</t>
        </is>
      </c>
      <c r="D115" s="4">
        <f>+IF(Tabla1[[#This Row],[Tienda]]&lt;&gt;"", IFERROR( VLOOKUP(Tabla1[[#This Row],[Tienda]],  Hoja1!A:A,   1,   0), "FALTA TIENDA"), "")</f>
        <v/>
      </c>
    </row>
    <row r="116">
      <c r="D116" s="4">
        <f>+IF(Tabla1[[#This Row],[Tienda]]&lt;&gt;"", IFERROR( VLOOKUP(Tabla1[[#This Row],[Tienda]],  Hoja1!A:A,   1,   0), "FALTA TIENDA"), "")</f>
        <v/>
      </c>
    </row>
    <row r="117">
      <c r="D117" s="4">
        <f>+IF(Tabla1[[#This Row],[Tienda]]&lt;&gt;"", IFERROR( VLOOKUP(Tabla1[[#This Row],[Tienda]],  Hoja1!A:A,   1,   0), "FALTA TIENDA"), "")</f>
        <v/>
      </c>
    </row>
    <row r="118">
      <c r="D118" s="4">
        <f>+IF(Tabla1[[#This Row],[Tienda]]&lt;&gt;"", IFERROR( VLOOKUP(Tabla1[[#This Row],[Tienda]],  Hoja1!A:A,   1,   0), "FALTA TIENDA"), "")</f>
        <v/>
      </c>
    </row>
    <row r="119">
      <c r="D119" s="4">
        <f>+IF(Tabla1[[#This Row],[Tienda]]&lt;&gt;"", IFERROR( VLOOKUP(Tabla1[[#This Row],[Tienda]],  Hoja1!A:A,   1,   0), "FALTA TIENDA"), "")</f>
        <v/>
      </c>
    </row>
    <row r="120">
      <c r="D120" s="4">
        <f>+IF(Tabla1[[#This Row],[Tienda]]&lt;&gt;"", IFERROR( VLOOKUP(Tabla1[[#This Row],[Tienda]],  Hoja1!A:A,   1,   0), "FALTA TIENDA"), "")</f>
        <v/>
      </c>
    </row>
    <row r="121">
      <c r="D121" s="4">
        <f>+IF(Tabla1[[#This Row],[Tienda]]&lt;&gt;"", IFERROR( VLOOKUP(Tabla1[[#This Row],[Tienda]],  Hoja1!A:A,   1,   0), "FALTA TIENDA"), "")</f>
        <v/>
      </c>
    </row>
    <row r="122">
      <c r="D122" s="4">
        <f>+IF(Tabla1[[#This Row],[Tienda]]&lt;&gt;"", IFERROR( VLOOKUP(Tabla1[[#This Row],[Tienda]],  Hoja1!A:A,   1,   0), "FALTA TIENDA"), "")</f>
        <v/>
      </c>
    </row>
    <row r="123">
      <c r="D123" s="4">
        <f>+IF(Tabla1[[#This Row],[Tienda]]&lt;&gt;"", IFERROR( VLOOKUP(Tabla1[[#This Row],[Tienda]],  Hoja1!A:A,   1,   0), "FALTA TIENDA"), "")</f>
        <v/>
      </c>
    </row>
    <row r="124">
      <c r="D124" s="4">
        <f>+IF(Tabla1[[#This Row],[Tienda]]&lt;&gt;"", IFERROR( VLOOKUP(Tabla1[[#This Row],[Tienda]],  Hoja1!A:A,   1,   0), "FALTA TIENDA"), "")</f>
        <v/>
      </c>
    </row>
    <row r="125">
      <c r="D125" s="4">
        <f>+IF(Tabla1[[#This Row],[Tienda]]&lt;&gt;"", IFERROR( VLOOKUP(Tabla1[[#This Row],[Tienda]],  Hoja1!A:A,   1,   0), "FALTA TIENDA"), "")</f>
        <v/>
      </c>
    </row>
    <row r="126">
      <c r="D126" s="4">
        <f>+IF(Tabla1[[#This Row],[Tienda]]&lt;&gt;"", IFERROR( VLOOKUP(Tabla1[[#This Row],[Tienda]],  Hoja1!A:A,   1,   0), "FALTA TIENDA"), "")</f>
        <v/>
      </c>
    </row>
    <row r="127">
      <c r="D127" s="4">
        <f>+IF(Tabla1[[#This Row],[Tienda]]&lt;&gt;"", IFERROR( VLOOKUP(Tabla1[[#This Row],[Tienda]],  Hoja1!A:A,   1,   0), "FALTA TIENDA"), "")</f>
        <v/>
      </c>
    </row>
    <row r="128">
      <c r="D128" s="4">
        <f>+IF(Tabla1[[#This Row],[Tienda]]&lt;&gt;"", IFERROR( VLOOKUP(Tabla1[[#This Row],[Tienda]],  Hoja1!A:A,   1,   0), "FALTA TIENDA"), "")</f>
        <v/>
      </c>
    </row>
    <row r="129">
      <c r="D129" s="4">
        <f>+IF(Tabla1[[#This Row],[Tienda]]&lt;&gt;"", IFERROR( VLOOKUP(Tabla1[[#This Row],[Tienda]],  Hoja1!A:A,   1,   0), "FALTA TIENDA"), "")</f>
        <v/>
      </c>
    </row>
    <row r="130">
      <c r="D130" s="4">
        <f>+IF(Tabla1[[#This Row],[Tienda]]&lt;&gt;"", IFERROR( VLOOKUP(Tabla1[[#This Row],[Tienda]],  Hoja1!A:A,   1,   0), "FALTA TIENDA"), "")</f>
        <v/>
      </c>
    </row>
    <row r="131">
      <c r="D131" s="4">
        <f>+IF(Tabla1[[#This Row],[Tienda]]&lt;&gt;"", IFERROR( VLOOKUP(Tabla1[[#This Row],[Tienda]],  Hoja1!A:A,   1,   0), "FALTA TIENDA"), "")</f>
        <v/>
      </c>
    </row>
    <row r="132">
      <c r="D132" s="4">
        <f>+IF(Tabla1[[#This Row],[Tienda]]&lt;&gt;"", IFERROR( VLOOKUP(Tabla1[[#This Row],[Tienda]],  Hoja1!A:A,   1,   0), "FALTA TIENDA"), "")</f>
        <v/>
      </c>
    </row>
    <row r="133">
      <c r="D133" s="4">
        <f>+IF(Tabla1[[#This Row],[Tienda]]&lt;&gt;"", IFERROR( VLOOKUP(Tabla1[[#This Row],[Tienda]],  Hoja1!A:A,   1,   0), "FALTA TIENDA"), "")</f>
        <v/>
      </c>
    </row>
    <row r="134">
      <c r="D134" s="4">
        <f>+IF(Tabla1[[#This Row],[Tienda]]&lt;&gt;"", IFERROR( VLOOKUP(Tabla1[[#This Row],[Tienda]],  Hoja1!A:A,   1,   0), "FALTA TIENDA"), "")</f>
        <v/>
      </c>
    </row>
    <row r="135">
      <c r="D135" s="4">
        <f>+IF(Tabla1[[#This Row],[Tienda]]&lt;&gt;"", IFERROR( VLOOKUP(Tabla1[[#This Row],[Tienda]],  Hoja1!A:A,   1,   0), "FALTA TIENDA"), "")</f>
        <v/>
      </c>
    </row>
    <row r="136">
      <c r="D136" s="4">
        <f>+IF(Tabla1[[#This Row],[Tienda]]&lt;&gt;"", IFERROR( VLOOKUP(Tabla1[[#This Row],[Tienda]],  Hoja1!A:A,   1,   0), "FALTA TIENDA"), "")</f>
        <v/>
      </c>
    </row>
    <row r="137">
      <c r="D137" s="4">
        <f>+IF(Tabla1[[#This Row],[Tienda]]&lt;&gt;"", IFERROR( VLOOKUP(Tabla1[[#This Row],[Tienda]],  Hoja1!A:A,   1,   0), "FALTA TIENDA"), "")</f>
        <v/>
      </c>
    </row>
    <row r="138">
      <c r="D138" s="4">
        <f>+IF(Tabla1[[#This Row],[Tienda]]&lt;&gt;"", IFERROR( VLOOKUP(Tabla1[[#This Row],[Tienda]],  Hoja1!A:A,   1,   0), "FALTA TIENDA"), "")</f>
        <v/>
      </c>
    </row>
    <row r="139">
      <c r="D139" s="4">
        <f>+IF(Tabla1[[#This Row],[Tienda]]&lt;&gt;"", IFERROR( VLOOKUP(Tabla1[[#This Row],[Tienda]],  Hoja1!A:A,   1,   0), "FALTA TIENDA"), "")</f>
        <v/>
      </c>
    </row>
    <row r="140">
      <c r="D140" s="4">
        <f>+IF(Tabla1[[#This Row],[Tienda]]&lt;&gt;"", IFERROR( VLOOKUP(Tabla1[[#This Row],[Tienda]],  Hoja1!A:A,   1,   0), "FALTA TIENDA"), "")</f>
        <v/>
      </c>
    </row>
    <row r="141">
      <c r="D141" s="4">
        <f>+IF(Tabla1[[#This Row],[Tienda]]&lt;&gt;"", IFERROR( VLOOKUP(Tabla1[[#This Row],[Tienda]],  Hoja1!A:A,   1,   0), "FALTA TIENDA"), "")</f>
        <v/>
      </c>
    </row>
    <row r="142">
      <c r="D142" s="4">
        <f>+IF(Tabla1[[#This Row],[Tienda]]&lt;&gt;"", IFERROR( VLOOKUP(Tabla1[[#This Row],[Tienda]],  Hoja1!A:A,   1,   0), "FALTA TIENDA"), "")</f>
        <v/>
      </c>
    </row>
    <row r="143">
      <c r="D143" s="4">
        <f>+IF(Tabla1[[#This Row],[Tienda]]&lt;&gt;"", IFERROR( VLOOKUP(Tabla1[[#This Row],[Tienda]],  Hoja1!A:A,   1,   0), "FALTA TIENDA"), "")</f>
        <v/>
      </c>
    </row>
    <row r="144">
      <c r="D144" s="4">
        <f>+IF(Tabla1[[#This Row],[Tienda]]&lt;&gt;"", IFERROR( VLOOKUP(Tabla1[[#This Row],[Tienda]],  Hoja1!A:A,   1,   0), "FALTA TIENDA"), "")</f>
        <v/>
      </c>
    </row>
    <row r="145">
      <c r="D145" s="4">
        <f>+IF(Tabla1[[#This Row],[Tienda]]&lt;&gt;"", IFERROR( VLOOKUP(Tabla1[[#This Row],[Tienda]],  Hoja1!A:A,   1,   0), "FALTA TIENDA"), "")</f>
        <v/>
      </c>
    </row>
    <row r="146">
      <c r="D146" s="4">
        <f>+IF(Tabla1[[#This Row],[Tienda]]&lt;&gt;"", IFERROR( VLOOKUP(Tabla1[[#This Row],[Tienda]],  Hoja1!A:A,   1,   0), "FALTA TIENDA"), "")</f>
        <v/>
      </c>
    </row>
    <row r="147">
      <c r="D147" s="4">
        <f>+IF(Tabla1[[#This Row],[Tienda]]&lt;&gt;"", IFERROR( VLOOKUP(Tabla1[[#This Row],[Tienda]],  Hoja1!A:A,   1,   0), "FALTA TIENDA"), "")</f>
        <v/>
      </c>
    </row>
    <row r="148">
      <c r="D148" s="4">
        <f>+IF(Tabla1[[#This Row],[Tienda]]&lt;&gt;"", IFERROR( VLOOKUP(Tabla1[[#This Row],[Tienda]],  Hoja1!A:A,   1,   0), "FALTA TIENDA"), "")</f>
        <v/>
      </c>
    </row>
    <row r="149">
      <c r="D149" s="4">
        <f>+IF(Tabla1[[#This Row],[Tienda]]&lt;&gt;"", IFERROR( VLOOKUP(Tabla1[[#This Row],[Tienda]],  Hoja1!A:A,   1,   0), "FALTA TIENDA"), "")</f>
        <v/>
      </c>
    </row>
    <row r="150">
      <c r="D150" s="4">
        <f>+IF(Tabla1[[#This Row],[Tienda]]&lt;&gt;"", IFERROR( VLOOKUP(Tabla1[[#This Row],[Tienda]],  Hoja1!A:A,   1,   0), "FALTA TIENDA"), "")</f>
        <v/>
      </c>
    </row>
    <row r="151">
      <c r="D151" s="4">
        <f>+IF(Tabla1[[#This Row],[Tienda]]&lt;&gt;"", IFERROR( VLOOKUP(Tabla1[[#This Row],[Tienda]],  Hoja1!A:A,   1,   0), "FALTA TIENDA"), "")</f>
        <v/>
      </c>
    </row>
    <row r="152">
      <c r="D152" s="4">
        <f>+IF(Tabla1[[#This Row],[Tienda]]&lt;&gt;"", IFERROR( VLOOKUP(Tabla1[[#This Row],[Tienda]],  Hoja1!A:A,   1,   0), "FALTA TIENDA"), "")</f>
        <v/>
      </c>
    </row>
    <row r="153">
      <c r="D153" s="4">
        <f>+IF(Tabla1[[#This Row],[Tienda]]&lt;&gt;"", IFERROR( VLOOKUP(Tabla1[[#This Row],[Tienda]],  Hoja1!A:A,   1,   0), "FALTA TIENDA"), "")</f>
        <v/>
      </c>
    </row>
    <row r="154">
      <c r="D154" s="4">
        <f>+IF(Tabla1[[#This Row],[Tienda]]&lt;&gt;"", IFERROR( VLOOKUP(Tabla1[[#This Row],[Tienda]],  Hoja1!A:A,   1,   0), "FALTA TIENDA"), "")</f>
        <v/>
      </c>
    </row>
    <row r="155">
      <c r="D155" s="4">
        <f>+IF(Tabla1[[#This Row],[Tienda]]&lt;&gt;"", IFERROR( VLOOKUP(Tabla1[[#This Row],[Tienda]],  Hoja1!A:A,   1,   0), "FALTA TIENDA"), "")</f>
        <v/>
      </c>
    </row>
    <row r="156">
      <c r="D156" s="4">
        <f>+IF(Tabla1[[#This Row],[Tienda]]&lt;&gt;"", IFERROR( VLOOKUP(Tabla1[[#This Row],[Tienda]],  Hoja1!A:A,   1,   0), "FALTA TIENDA"), "")</f>
        <v/>
      </c>
    </row>
    <row r="157">
      <c r="D157" s="4">
        <f>+IF(Tabla1[[#This Row],[Tienda]]&lt;&gt;"", IFERROR( VLOOKUP(Tabla1[[#This Row],[Tienda]],  Hoja1!A:A,   1,   0), "FALTA TIENDA"), "")</f>
        <v/>
      </c>
    </row>
    <row r="158">
      <c r="D158" s="4">
        <f>+IF(Tabla1[[#This Row],[Tienda]]&lt;&gt;"", IFERROR( VLOOKUP(Tabla1[[#This Row],[Tienda]],  Hoja1!A:A,   1,   0), "FALTA TIENDA"), "")</f>
        <v/>
      </c>
    </row>
    <row r="159">
      <c r="D159" s="4">
        <f>+IF(Tabla1[[#This Row],[Tienda]]&lt;&gt;"", IFERROR( VLOOKUP(Tabla1[[#This Row],[Tienda]],  Hoja1!A:A,   1,   0), "FALTA TIENDA"), "")</f>
        <v/>
      </c>
    </row>
    <row r="160">
      <c r="D160" s="4">
        <f>+IF(Tabla1[[#This Row],[Tienda]]&lt;&gt;"", IFERROR( VLOOKUP(Tabla1[[#This Row],[Tienda]],  Hoja1!A:A,   1,   0), "FALTA TIENDA"), "")</f>
        <v/>
      </c>
    </row>
    <row r="161">
      <c r="D161" s="4">
        <f>+IF(Tabla1[[#This Row],[Tienda]]&lt;&gt;"", IFERROR( VLOOKUP(Tabla1[[#This Row],[Tienda]],  Hoja1!A:A,   1,   0), "FALTA TIENDA"), "")</f>
        <v/>
      </c>
    </row>
    <row r="162">
      <c r="D162" s="4">
        <f>+IF(Tabla1[[#This Row],[Tienda]]&lt;&gt;"", IFERROR( VLOOKUP(Tabla1[[#This Row],[Tienda]],  Hoja1!A:A,   1,   0), "FALTA TIENDA"), "")</f>
        <v/>
      </c>
    </row>
    <row r="163">
      <c r="D163" s="4">
        <f>+IF(Tabla1[[#This Row],[Tienda]]&lt;&gt;"", IFERROR( VLOOKUP(Tabla1[[#This Row],[Tienda]],  Hoja1!A:A,   1,   0), "FALTA TIENDA"), "")</f>
        <v/>
      </c>
    </row>
    <row r="164">
      <c r="D164" s="4">
        <f>+IF(Tabla1[[#This Row],[Tienda]]&lt;&gt;"", IFERROR( VLOOKUP(Tabla1[[#This Row],[Tienda]],  Hoja1!A:A,   1,   0), "FALTA TIENDA"), "")</f>
        <v/>
      </c>
    </row>
    <row r="165">
      <c r="D165" s="4">
        <f>+IF(Tabla1[[#This Row],[Tienda]]&lt;&gt;"", IFERROR( VLOOKUP(Tabla1[[#This Row],[Tienda]],  Hoja1!A:A,   1,   0), "FALTA TIENDA"), "")</f>
        <v/>
      </c>
    </row>
    <row r="166">
      <c r="D166" s="4">
        <f>+IF(Tabla1[[#This Row],[Tienda]]&lt;&gt;"", IFERROR( VLOOKUP(Tabla1[[#This Row],[Tienda]],  Hoja1!A:A,   1,   0), "FALTA TIENDA"), "")</f>
        <v/>
      </c>
    </row>
    <row r="167">
      <c r="D167" s="4">
        <f>+IF(Tabla1[[#This Row],[Tienda]]&lt;&gt;"", IFERROR( VLOOKUP(Tabla1[[#This Row],[Tienda]],  Hoja1!A:A,   1,   0), "FALTA TIENDA"), "")</f>
        <v/>
      </c>
    </row>
    <row r="168">
      <c r="D168" s="4">
        <f>+IF(Tabla1[[#This Row],[Tienda]]&lt;&gt;"", IFERROR( VLOOKUP(Tabla1[[#This Row],[Tienda]],  Hoja1!A:A,   1,   0), "FALTA TIENDA"), "")</f>
        <v/>
      </c>
    </row>
    <row r="169">
      <c r="D169" s="4">
        <f>+IF(Tabla1[[#This Row],[Tienda]]&lt;&gt;"", IFERROR( VLOOKUP(Tabla1[[#This Row],[Tienda]],  Hoja1!A:A,   1,   0), "FALTA TIENDA"), "")</f>
        <v/>
      </c>
    </row>
    <row r="170">
      <c r="D170" s="4">
        <f>+IF(Tabla1[[#This Row],[Tienda]]&lt;&gt;"", IFERROR( VLOOKUP(Tabla1[[#This Row],[Tienda]],  Hoja1!A:A,   1,   0), "FALTA TIENDA"), "")</f>
        <v/>
      </c>
    </row>
    <row r="171">
      <c r="D171" s="4">
        <f>+IF(Tabla1[[#This Row],[Tienda]]&lt;&gt;"", IFERROR( VLOOKUP(Tabla1[[#This Row],[Tienda]],  Hoja1!A:A,   1,   0), "FALTA TIENDA"), "")</f>
        <v/>
      </c>
    </row>
    <row r="172">
      <c r="D172" s="4">
        <f>+IF(Tabla1[[#This Row],[Tienda]]&lt;&gt;"", IFERROR( VLOOKUP(Tabla1[[#This Row],[Tienda]],  Hoja1!A:A,   1,   0), "FALTA TIENDA"), "")</f>
        <v/>
      </c>
    </row>
    <row r="173">
      <c r="D173" s="4">
        <f>+IF(Tabla1[[#This Row],[Tienda]]&lt;&gt;"", IFERROR( VLOOKUP(Tabla1[[#This Row],[Tienda]],  Hoja1!A:A,   1,   0), "FALTA TIENDA"), "")</f>
        <v/>
      </c>
    </row>
    <row r="174">
      <c r="D174" s="4">
        <f>+IF(Tabla1[[#This Row],[Tienda]]&lt;&gt;"", IFERROR( VLOOKUP(Tabla1[[#This Row],[Tienda]],  Hoja1!A:A,   1,   0), "FALTA TIENDA"), "")</f>
        <v/>
      </c>
    </row>
    <row r="175">
      <c r="D175" s="4">
        <f>+IF(Tabla1[[#This Row],[Tienda]]&lt;&gt;"", IFERROR( VLOOKUP(Tabla1[[#This Row],[Tienda]],  Hoja1!A:A,   1,   0), "FALTA TIENDA"), "")</f>
        <v/>
      </c>
    </row>
    <row r="176">
      <c r="D176" s="4">
        <f>+IF(Tabla1[[#This Row],[Tienda]]&lt;&gt;"", IFERROR( VLOOKUP(Tabla1[[#This Row],[Tienda]],  Hoja1!A:A,   1,   0), "FALTA TIENDA"), "")</f>
        <v/>
      </c>
    </row>
    <row r="177">
      <c r="D177" s="4">
        <f>+IF(Tabla1[[#This Row],[Tienda]]&lt;&gt;"", IFERROR( VLOOKUP(Tabla1[[#This Row],[Tienda]],  Hoja1!A:A,   1,   0), "FALTA TIENDA"), "")</f>
        <v/>
      </c>
    </row>
    <row r="178">
      <c r="D178" s="4">
        <f>+IF(Tabla1[[#This Row],[Tienda]]&lt;&gt;"", IFERROR( VLOOKUP(Tabla1[[#This Row],[Tienda]],  Hoja1!A:A,   1,   0), "FALTA TIENDA"), "")</f>
        <v/>
      </c>
    </row>
    <row r="179">
      <c r="D179" s="4">
        <f>+IF(Tabla1[[#This Row],[Tienda]]&lt;&gt;"", IFERROR( VLOOKUP(Tabla1[[#This Row],[Tienda]],  Hoja1!A:A,   1,   0), "FALTA TIENDA"), "")</f>
        <v/>
      </c>
    </row>
    <row r="180">
      <c r="D180" s="4">
        <f>+IF(Tabla1[[#This Row],[Tienda]]&lt;&gt;"", IFERROR( VLOOKUP(Tabla1[[#This Row],[Tienda]],  Hoja1!A:A,   1,   0), "FALTA TIENDA"), "")</f>
        <v/>
      </c>
    </row>
    <row r="181">
      <c r="D181" s="4">
        <f>+IF(Tabla1[[#This Row],[Tienda]]&lt;&gt;"", IFERROR( VLOOKUP(Tabla1[[#This Row],[Tienda]],  Hoja1!A:A,   1,   0), "FALTA TIENDA"), "")</f>
        <v/>
      </c>
    </row>
    <row r="182">
      <c r="D182" s="4">
        <f>+IF(Tabla1[[#This Row],[Tienda]]&lt;&gt;"", IFERROR( VLOOKUP(Tabla1[[#This Row],[Tienda]],  Hoja1!A:A,   1,   0), "FALTA TIENDA"), "")</f>
        <v/>
      </c>
    </row>
    <row r="183">
      <c r="D183" s="4">
        <f>+IF(Tabla1[[#This Row],[Tienda]]&lt;&gt;"", IFERROR( VLOOKUP(Tabla1[[#This Row],[Tienda]],  Hoja1!A:A,   1,   0), "FALTA TIENDA"), "")</f>
        <v/>
      </c>
    </row>
    <row r="184">
      <c r="D184" s="4">
        <f>+IF(Tabla1[[#This Row],[Tienda]]&lt;&gt;"", IFERROR( VLOOKUP(Tabla1[[#This Row],[Tienda]],  Hoja1!A:A,   1,   0), "FALTA TIENDA"), "")</f>
        <v/>
      </c>
    </row>
    <row r="185">
      <c r="D185" s="4">
        <f>+IF(Tabla1[[#This Row],[Tienda]]&lt;&gt;"", IFERROR( VLOOKUP(Tabla1[[#This Row],[Tienda]],  Hoja1!A:A,   1,   0), "FALTA TIENDA"), "")</f>
        <v/>
      </c>
    </row>
    <row r="186">
      <c r="D186" s="4">
        <f>+IF(Tabla1[[#This Row],[Tienda]]&lt;&gt;"", IFERROR( VLOOKUP(Tabla1[[#This Row],[Tienda]],  Hoja1!A:A,   1,   0), "FALTA TIENDA"), "")</f>
        <v/>
      </c>
    </row>
    <row r="187">
      <c r="D187" s="4">
        <f>+IF(Tabla1[[#This Row],[Tienda]]&lt;&gt;"", IFERROR( VLOOKUP(Tabla1[[#This Row],[Tienda]],  Hoja1!A:A,   1,   0), "FALTA TIENDA"), "")</f>
        <v/>
      </c>
    </row>
    <row r="188">
      <c r="D188" s="4">
        <f>+IF(Tabla1[[#This Row],[Tienda]]&lt;&gt;"", IFERROR( VLOOKUP(Tabla1[[#This Row],[Tienda]],  Hoja1!A:A,   1,   0), "FALTA TIENDA"), "")</f>
        <v/>
      </c>
    </row>
    <row r="189">
      <c r="D189" s="4">
        <f>+IF(Tabla1[[#This Row],[Tienda]]&lt;&gt;"", IFERROR( VLOOKUP(Tabla1[[#This Row],[Tienda]],  Hoja1!A:A,   1,   0), "FALTA TIENDA"), "")</f>
        <v/>
      </c>
    </row>
    <row r="190">
      <c r="D190" s="4">
        <f>+IF(Tabla1[[#This Row],[Tienda]]&lt;&gt;"", IFERROR( VLOOKUP(Tabla1[[#This Row],[Tienda]],  Hoja1!A:A,   1,   0), "FALTA TIENDA"), "")</f>
        <v/>
      </c>
    </row>
    <row r="191">
      <c r="D191" s="4">
        <f>+IF(Tabla1[[#This Row],[Tienda]]&lt;&gt;"", IFERROR( VLOOKUP(Tabla1[[#This Row],[Tienda]],  Hoja1!A:A,   1,   0), "FALTA TIENDA"), "")</f>
        <v/>
      </c>
    </row>
    <row r="192">
      <c r="D192" s="4">
        <f>+IF(Tabla1[[#This Row],[Tienda]]&lt;&gt;"", IFERROR( VLOOKUP(Tabla1[[#This Row],[Tienda]],  Hoja1!A:A,   1,   0), "FALTA TIENDA"), "")</f>
        <v/>
      </c>
    </row>
    <row r="193">
      <c r="D193" s="4">
        <f>+IF(Tabla1[[#This Row],[Tienda]]&lt;&gt;"", IFERROR( VLOOKUP(Tabla1[[#This Row],[Tienda]],  Hoja1!A:A,   1,   0), "FALTA TIENDA"), "")</f>
        <v/>
      </c>
    </row>
    <row r="194">
      <c r="D194" s="4">
        <f>+IF(Tabla1[[#This Row],[Tienda]]&lt;&gt;"", IFERROR( VLOOKUP(Tabla1[[#This Row],[Tienda]],  Hoja1!A:A,   1,   0), "FALTA TIENDA"), "")</f>
        <v/>
      </c>
    </row>
    <row r="195">
      <c r="D195" s="4">
        <f>+IF(Tabla1[[#This Row],[Tienda]]&lt;&gt;"", IFERROR( VLOOKUP(Tabla1[[#This Row],[Tienda]],  Hoja1!A:A,   1,   0), "FALTA TIENDA"), "")</f>
        <v/>
      </c>
    </row>
    <row r="196">
      <c r="D196" s="4">
        <f>+IF(Tabla1[[#This Row],[Tienda]]&lt;&gt;"", IFERROR( VLOOKUP(Tabla1[[#This Row],[Tienda]],  Hoja1!A:A,   1,   0), "FALTA TIENDA"), "")</f>
        <v/>
      </c>
    </row>
    <row r="197">
      <c r="D197" s="4">
        <f>+IF(Tabla1[[#This Row],[Tienda]]&lt;&gt;"", IFERROR( VLOOKUP(Tabla1[[#This Row],[Tienda]],  Hoja1!A:A,   1,   0), "FALTA TIENDA"), "")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gomez perez, david (Paterna)</dc:creator>
  <dcterms:created xmlns:dcterms="http://purl.org/dc/terms/" xmlns:xsi="http://www.w3.org/2001/XMLSchema-instance" xsi:type="dcterms:W3CDTF">2026-01-22T17:46:43Z</dcterms:created>
  <dcterms:modified xmlns:dcterms="http://purl.org/dc/terms/" xmlns:xsi="http://www.w3.org/2001/XMLSchema-instance" xsi:type="dcterms:W3CDTF">2026-06-01T06:48:34Z</dcterms:modified>
  <cp:lastModifiedBy>gomez perez, david (Paterna)</cp:lastModifiedBy>
</cp:coreProperties>
</file>